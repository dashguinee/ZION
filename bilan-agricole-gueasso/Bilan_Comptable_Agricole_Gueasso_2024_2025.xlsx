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otice" sheetId="1" state="visible" r:id="rId3"/>
    <sheet name="Hypotheses" sheetId="2" state="visible" r:id="rId4"/>
    <sheet name="Production" sheetId="3" state="visible" r:id="rId5"/>
    <sheet name="Immobilisations" sheetId="4" state="visible" r:id="rId6"/>
    <sheet name="Charges" sheetId="5" state="visible" r:id="rId7"/>
    <sheet name="Compte de resultat" sheetId="6" state="visible" r:id="rId8"/>
    <sheet name="Flux &amp; Financement" sheetId="7" state="visible" r:id="rId9"/>
    <sheet name="Bilan" sheetId="8" state="visible" r:id="rId10"/>
    <sheet name="SIG &amp; Ratios" sheetId="9" state="visible" r:id="rId11"/>
    <sheet name="Comparatif"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<sst xmlns="http://schemas.openxmlformats.org/spreadsheetml/2006/main" count="677" uniqueCount="536">
  <si>
    <t xml:space="preserve">BILAN COMPTABLE DES CAMPAGNES AGRICOLES 2024 ET 2025</t>
  </si>
  <si>
    <t xml:space="preserve">Domaine agricole de 60 hectares - Sous-prefecture de Gueasso, Prefecture de Lola, Region de N'Zerekore</t>
  </si>
  <si>
    <t xml:space="preserve">1. IDENTIFICATION DE L'EXPLOITANT</t>
  </si>
  <si>
    <t xml:space="preserve">Raison sociale        : KASI GROUP SARL (sigle K-G-SARL)</t>
  </si>
  <si>
    <t xml:space="preserve">Forme juridique       : Societe a responsabilite limitee</t>
  </si>
  <si>
    <t xml:space="preserve">RCCM                  : GN.TCC.2025.B.16465 - Formalite GN.TCC.2025.18612</t>
  </si>
  <si>
    <t xml:space="preserve">NIF                   : 642333652 - Numero eTax : 1228802510892</t>
  </si>
  <si>
    <t xml:space="preserve">Date d'immatriculation: 19 novembre 2025, Tribunal de Commerce de Conakry</t>
  </si>
  <si>
    <t xml:space="preserve">Capital social        : 10 000 000 GNF integralement libere en numeraire</t>
  </si>
  <si>
    <t xml:space="preserve">Siege social          : Immeuble Sonoco, Marche Niger, Commune de Kaloum, Conakry</t>
  </si>
  <si>
    <t xml:space="preserve">Cogerants             : KABA Alhassane et SIDIBE Mohamed</t>
  </si>
  <si>
    <t xml:space="preserve">Objet social          : BTP, commerce, AGRICULTURE, communication, technologie, transport, mines, elevage, immobilier</t>
  </si>
  <si>
    <t xml:space="preserve">2. NATURE ET PORTEE DU DOCUMENT - A LIRE IMPERATIVEMENT</t>
  </si>
  <si>
    <t xml:space="preserve">KASI GROUP SARL n'est immatriculee que depuis le 19 novembre 2025. La societe ne peut donc pas</t>
  </si>
  <si>
    <t xml:space="preserve">produire d'etats financiers historiques certifies au titre de la campagne 2024, ni d'un exercice social</t>
  </si>
  <si>
    <t xml:space="preserve">complet 2025. Le present document est un jeu de COMPTES D'EXPLOITATION ET DE BILANS RECONSTITUES,</t>
  </si>
  <si>
    <t xml:space="preserve">etabli sur la base d'hypotheses technico-economiques explicites, entierement parametrees dans l'onglet</t>
  </si>
  <si>
    <t xml:space="preserve">"Hypotheses". Il n'est ni audite, ni certifie, ni opposable a l'administration fiscale.</t>
  </si>
  <si>
    <t xml:space="preserve">Cadre retenu pour chacune des deux campagnes :</t>
  </si>
  <si>
    <t xml:space="preserve">  - Campagne 2024 : exploitation conduite en nom propre par les promoteurs (regime de l'entreprise</t>
  </si>
  <si>
    <t xml:space="preserve">    individuelle agricole), avant constitution de la societe. Comptes tenus en partie double.</t>
  </si>
  <si>
    <t xml:space="preserve">  - Campagne 2025 : exploitation apportee a KASI GROUP SARL a sa constitution. Les capitaux investis</t>
  </si>
  <si>
    <t xml:space="preserve">    par les promoteurs en 2024 sont reclasses en comptes courants d'associes bloques au 31/12/2025.</t>
  </si>
  <si>
    <t xml:space="preserve">Usage recommande : dossier de financement, demande de credit agricole, presentation a un partenaire</t>
  </si>
  <si>
    <t xml:space="preserve">technique ou financier, plan d'affaires. Toute production devant un tiers doit conserver le present</t>
  </si>
  <si>
    <t xml:space="preserve">avertissement et la mention "comptes reconstitues sur hypotheses".</t>
  </si>
  <si>
    <t xml:space="preserve">3. REFERENTIEL ET CONVENTIONS</t>
  </si>
  <si>
    <t xml:space="preserve">Referentiel comptable  : SYSCOHADA revise (Acte uniforme OHADA relatif au droit comptable, systeme normal)</t>
  </si>
  <si>
    <t xml:space="preserve">Monnaie de tenue       : franc guineen (GNF). Tous les montants sont exprimes en GNF.</t>
  </si>
  <si>
    <t xml:space="preserve">Cout historique        : les immobilisations sont evaluees au cout d'acquisition.</t>
  </si>
  <si>
    <t xml:space="preserve">Amortissements         : mode lineaire, calcul prorata temporis a compter de la mise en service.</t>
  </si>
  <si>
    <t xml:space="preserve">Stocks                 : intrants au cout d'achat, produits finis au cout de production.</t>
  </si>
  <si>
    <t xml:space="preserve">Imposition             : impot sur les benefices au taux de 25 %, hors regimes derogatoires agricoles.</t>
  </si>
  <si>
    <t xml:space="preserve">Exercice               : la campagne agricole est assimilee a l'exercice civil (1er janvier - 31 decembre).</t>
  </si>
  <si>
    <t xml:space="preserve">4. CONTEXTE AGRO-ECOLOGIQUE DE LA ZONE</t>
  </si>
  <si>
    <t xml:space="preserve">Gueasso, prefecture de Lola, se situe en Guinee forestiere. Pluviometrie annuelle de 1 800 a 2 200 mm</t>
  </si>
  <si>
    <t xml:space="preserve">repartie sur 8 a 9 mois, sols ferrallitiques desatures profonds, relief de collines et de bas-fonds.</t>
  </si>
  <si>
    <t xml:space="preserve">Cette zone est favorable au riz pluvial et de bas-fond, au mais, au manioc et a l'arachide, qui</t>
  </si>
  <si>
    <t xml:space="preserve">constituent l'assolement retenu. Debouches : marches de Lola, N'Zerekore, Beyla et flux transfrontaliers.</t>
  </si>
  <si>
    <t xml:space="preserve">5. LOGIQUE DE LA PROGRESSION ENTRE LES DEUX CAMPAGNES</t>
  </si>
  <si>
    <t xml:space="preserve">2024 - campagne de mise en valeur. Defriche et amenagement du domaine, mecanisation confiee a des</t>
  </si>
  <si>
    <t xml:space="preserve">prestataires, transformation (decorticage, gari) sous-traitee, pertes post-recolte de 10 %.</t>
  </si>
  <si>
    <t xml:space="preserve">Resultat positif mais etroit : la campagne absorbe les couts de premiere installation.</t>
  </si>
  <si>
    <t xml:space="preserve">2025 - campagne de consolidation. Acquisition d'un tracteur et d'une unite post-recolte, amenagement</t>
  </si>
  <si>
    <t xml:space="preserve">de 4 ha de bas-fond rizicole, semences certifiees, fumure raisonnee sur analyse de sol, encadrement</t>
  </si>
  <si>
    <t xml:space="preserve">technique, pertes ramenees a 5 % et integration de la transformation qui capte la marge d'usinage.</t>
  </si>
  <si>
    <t xml:space="preserve">Le resultat net est multiplie par pres de 3,7 et la valeur ajoutee a l'hectare par plus de 2.</t>
  </si>
  <si>
    <t xml:space="preserve">6. CODE COULEUR DU CLASSEUR</t>
  </si>
  <si>
    <t xml:space="preserve">Texte bleu   : donnee d'entree modifiable (hypothese, parametre, montant saisi)</t>
  </si>
  <si>
    <t xml:space="preserve">Texte noir   : resultat calcule par formule</t>
  </si>
  <si>
    <t xml:space="preserve">Texte vert   : lien vers un autre onglet</t>
  </si>
  <si>
    <t xml:space="preserve">Fond jaune   : hypothese cle ayant un effet majeur sur le resultat</t>
  </si>
  <si>
    <t xml:space="preserve">7. ORGANISATION DU CLASSEUR</t>
  </si>
  <si>
    <t xml:space="preserve">Hypotheses        : tous les parametres techniques, commerciaux et financiers</t>
  </si>
  <si>
    <t xml:space="preserve">Production        : tonnages produits, affectation entre vente brute et transformation, chiffre d'affaires</t>
  </si>
  <si>
    <t xml:space="preserve">Charges           : charges d'exploitation detaillees par compte SYSCOHADA</t>
  </si>
  <si>
    <t xml:space="preserve">Immobilisations   : plan d'investissement et tableau d'amortissement</t>
  </si>
  <si>
    <t xml:space="preserve">Compte de resultat: compte de resultat comparatif 2024 / 2025</t>
  </si>
  <si>
    <t xml:space="preserve">Bilan             : bilan comparatif au 31/12/2024 et au 31/12/2025, avec controle d'equilibre</t>
  </si>
  <si>
    <t xml:space="preserve">Flux &amp; Financement: tableau des flux de tresorerie et plan de financement</t>
  </si>
  <si>
    <t xml:space="preserve">SIG &amp; Ratios      : soldes intermediaires de gestion, ratios, seuil de rentabilite</t>
  </si>
  <si>
    <t xml:space="preserve">Comparatif        : synthese de la progression 2024 vers 2025</t>
  </si>
  <si>
    <t xml:space="preserve">HYPOTHESES TECHNICO-ECONOMIQUES</t>
  </si>
  <si>
    <t xml:space="preserve">Toutes les cellules bleues sont modifiables : le classeur entier se recalcule.</t>
  </si>
  <si>
    <t xml:space="preserve">A. IDENTIFICATION ET PERIMETRE</t>
  </si>
  <si>
    <t xml:space="preserve">Raison sociale de l'exploitant</t>
  </si>
  <si>
    <t xml:space="preserve">KASI GROUP SARL</t>
  </si>
  <si>
    <t xml:space="preserve">RCCM</t>
  </si>
  <si>
    <t xml:space="preserve">GN.TCC.2025.B.16465</t>
  </si>
  <si>
    <t xml:space="preserve">NIF</t>
  </si>
  <si>
    <t xml:space="preserve">642333652</t>
  </si>
  <si>
    <t xml:space="preserve">Localisation du domaine</t>
  </si>
  <si>
    <t xml:space="preserve">Gueasso, Prefecture de Lola, Region de N'Zerekore</t>
  </si>
  <si>
    <t xml:space="preserve">Superficie totale du domaine (ha)</t>
  </si>
  <si>
    <t xml:space="preserve">Monnaie de tenue des comptes</t>
  </si>
  <si>
    <t xml:space="preserve">GNF</t>
  </si>
  <si>
    <t xml:space="preserve">B. ASSOLEMENT (hectares emblaves)</t>
  </si>
  <si>
    <t xml:space="preserve">Speculation</t>
  </si>
  <si>
    <t xml:space="preserve">Campagne 2024</t>
  </si>
  <si>
    <t xml:space="preserve">Campagne 2025</t>
  </si>
  <si>
    <t xml:space="preserve">Variation</t>
  </si>
  <si>
    <t xml:space="preserve">Justification</t>
  </si>
  <si>
    <t xml:space="preserve">Riz pluvial NERICA</t>
  </si>
  <si>
    <t xml:space="preserve">Speculation pivot, debouche local et regional assure</t>
  </si>
  <si>
    <t xml:space="preserve">Riz de bas-fond amenage</t>
  </si>
  <si>
    <t xml:space="preserve">4 ha de bas-fond planes et endigues en 2025, rendement double</t>
  </si>
  <si>
    <t xml:space="preserve">Mais grain</t>
  </si>
  <si>
    <t xml:space="preserve">Rotation et debouche provende / brasserie</t>
  </si>
  <si>
    <t xml:space="preserve">Manioc</t>
  </si>
  <si>
    <t xml:space="preserve">Surface reduite au profit du riz, plus rentable apres integration de l'usinage</t>
  </si>
  <si>
    <t xml:space="preserve">Arachide (coque)</t>
  </si>
  <si>
    <t xml:space="preserve">Legumineuse de rotation, fixation azotee, tete d'assolement</t>
  </si>
  <si>
    <t xml:space="preserve">Total emblave (ha)</t>
  </si>
  <si>
    <t xml:space="preserve">Superficie non cultivee (siege, hangars, pistes, pare-feu)</t>
  </si>
  <si>
    <t xml:space="preserve">Emprise reduite en 2025 grace au reamenagement des pistes</t>
  </si>
  <si>
    <t xml:space="preserve">C. RENDEMENTS (tonnes / hectare)</t>
  </si>
  <si>
    <t xml:space="preserve">Progression</t>
  </si>
  <si>
    <t xml:space="preserve">Justification agronomique</t>
  </si>
  <si>
    <t xml:space="preserve">Semence certifiee R1, fumure fractionnee, desherbage precoce</t>
  </si>
  <si>
    <t xml:space="preserve">Maitrise de l'eau, repiquage en ligne, deux sarclages</t>
  </si>
  <si>
    <t xml:space="preserve">Variete composite amelioree, densite 53 000 pieds/ha</t>
  </si>
  <si>
    <t xml:space="preserve">Manioc (racines fraiches)</t>
  </si>
  <si>
    <t xml:space="preserve">Boutures saines selectionnees, billonnage mecanise</t>
  </si>
  <si>
    <t xml:space="preserve">Arachide (gousses en coque)</t>
  </si>
  <si>
    <t xml:space="preserve">Semence renouvelee, traitement de semence, recolte a maturite</t>
  </si>
  <si>
    <t xml:space="preserve">D. PARAMETRES TECHNIQUES DE RECOLTE ET DE TRANSFORMATION</t>
  </si>
  <si>
    <t xml:space="preserve">Parametre</t>
  </si>
  <si>
    <t xml:space="preserve">Commentaire</t>
  </si>
  <si>
    <t xml:space="preserve">Taux de pertes post-recolte</t>
  </si>
  <si>
    <t xml:space="preserve">2025 : magasin ventile, sechage sur aire betonnee, palettisation</t>
  </si>
  <si>
    <t xml:space="preserve">Rendement a l'usinage du paddy (riz blanc / paddy)</t>
  </si>
  <si>
    <t xml:space="preserve">Norme technique d'une decortiqueuse a rouleaux caoutchouc</t>
  </si>
  <si>
    <t xml:space="preserve">Rendement de transformation manioc en gari</t>
  </si>
  <si>
    <t xml:space="preserve">Norme technique rapeuse-presse (1 t de racines donne 220 kg de gari)</t>
  </si>
  <si>
    <t xml:space="preserve">Part du paddy usinee en riz blanc</t>
  </si>
  <si>
    <t xml:space="preserve">2024 : prestation externe limitee. 2025 : unite propre de 1 t/h</t>
  </si>
  <si>
    <t xml:space="preserve">Part du manioc transformee en gari</t>
  </si>
  <si>
    <t xml:space="preserve">2025 : rapeuse-presse propre, marge d'usinage internalisee</t>
  </si>
  <si>
    <t xml:space="preserve">E. PRIX DE VENTE MOYENS (GNF / kg)</t>
  </si>
  <si>
    <t xml:space="preserve">Produit</t>
  </si>
  <si>
    <t xml:space="preserve">Reference de marche</t>
  </si>
  <si>
    <t xml:space="preserve">Paddy (riz non usine), bord champ</t>
  </si>
  <si>
    <t xml:space="preserve">Marche de collecte de Lola et N'Zerekore</t>
  </si>
  <si>
    <t xml:space="preserve">Riz blanc local, sortie magasin</t>
  </si>
  <si>
    <t xml:space="preserve">Prix de gros N'Zerekore, sac de 50 kg</t>
  </si>
  <si>
    <t xml:space="preserve">Mais grain sec</t>
  </si>
  <si>
    <t xml:space="preserve">Demande provende et brasserie, prix de campagne</t>
  </si>
  <si>
    <t xml:space="preserve">Manioc frais (racines)</t>
  </si>
  <si>
    <t xml:space="preserve">Prix bord champ, vente en vrac aux collecteurs</t>
  </si>
  <si>
    <t xml:space="preserve">Gari (semoule de manioc)</t>
  </si>
  <si>
    <t xml:space="preserve">Prix de detail regional, conditionne en sacs de 25 kg</t>
  </si>
  <si>
    <t xml:space="preserve">Arachide en coque</t>
  </si>
  <si>
    <t xml:space="preserve">Prix de campagne, vente aux huileries et grossistes</t>
  </si>
  <si>
    <t xml:space="preserve">F. PARAMETRES FINANCIERS, SOCIAUX ET FISCAUX</t>
  </si>
  <si>
    <t xml:space="preserve">Taux d'impot sur les benefices</t>
  </si>
  <si>
    <t xml:space="preserve">Taux de droit commun, hors regime derogatoire agricole</t>
  </si>
  <si>
    <t xml:space="preserve">Taux d'interet emprunt de campagne / moyen terme</t>
  </si>
  <si>
    <t xml:space="preserve">Conditions du credit rural en Guinee</t>
  </si>
  <si>
    <t xml:space="preserve">Taux d'interet emprunt d'investissement</t>
  </si>
  <si>
    <t xml:space="preserve">Ligne d'investissement 2025, differe de 12 mois</t>
  </si>
  <si>
    <t xml:space="preserve">Taux de charges sociales patronales (CNSS)</t>
  </si>
  <si>
    <t xml:space="preserve">Cotisation employeur sur salaires bruts</t>
  </si>
  <si>
    <t xml:space="preserve">Cout moyen de l'homme-jour (GNF)</t>
  </si>
  <si>
    <t xml:space="preserve">Main-d'oeuvre journaliere locale, repas inclus</t>
  </si>
  <si>
    <t xml:space="preserve">Nombre d'hommes-jours de la campagne</t>
  </si>
  <si>
    <t xml:space="preserve">Semis, sarclages, recolte, battage, conditionnement</t>
  </si>
  <si>
    <t xml:space="preserve">Taux de change indicatif (GNF / USD)</t>
  </si>
  <si>
    <t xml:space="preserve">Pour conversion et lecture par un partenaire externe</t>
  </si>
  <si>
    <t xml:space="preserve">Sources des prix et des rendements : bareme indicatif de campagne des marches de Lola et de N'Zerekore, references techniques ANPROCA / IRAG pour la Guinee forestiere, et estimations de l'exploitant. Ces valeurs sont des hypotheses de travail a valider avant tout engagement.</t>
  </si>
  <si>
    <t xml:space="preserve">PRODUCTION, AFFECTATION ET CHIFFRE D'AFFAIRES</t>
  </si>
  <si>
    <t xml:space="preserve">Tonnages en tonnes, valeurs en GNF</t>
  </si>
  <si>
    <t xml:space="preserve">1. PRODUCTION BRUTE ET PRODUCTION COMMERCIALISABLE</t>
  </si>
  <si>
    <t xml:space="preserve">Surface 2024 (ha)</t>
  </si>
  <si>
    <t xml:space="preserve">Rendt 2024 (t/ha)</t>
  </si>
  <si>
    <t xml:space="preserve">Prod. brute 2024 (t)</t>
  </si>
  <si>
    <t xml:space="preserve">Prod. nette 2024 (t)</t>
  </si>
  <si>
    <t xml:space="preserve">Surface 2025 (ha)</t>
  </si>
  <si>
    <t xml:space="preserve">Rendt 2025 (t/ha)</t>
  </si>
  <si>
    <t xml:space="preserve">Prod. brute 2025 (t)</t>
  </si>
  <si>
    <t xml:space="preserve">Prod. nette 2025 (t)</t>
  </si>
  <si>
    <t xml:space="preserve">Total</t>
  </si>
  <si>
    <t xml:space="preserve">2. AFFECTATION ET VALORISATION DU RIZ</t>
  </si>
  <si>
    <t xml:space="preserve">Poste</t>
  </si>
  <si>
    <t xml:space="preserve">Paddy net disponible (t)</t>
  </si>
  <si>
    <t xml:space="preserve">Somme du riz pluvial et du riz de bas-fond, apres pertes</t>
  </si>
  <si>
    <t xml:space="preserve">Paddy dirige vers l'usinage (t)</t>
  </si>
  <si>
    <t xml:space="preserve">2024 : prestation externe. 2025 : decortiqueuse propre</t>
  </si>
  <si>
    <t xml:space="preserve">Riz blanc obtenu (t)</t>
  </si>
  <si>
    <t xml:space="preserve">Rendement d'usinage applique au paddy usine</t>
  </si>
  <si>
    <t xml:space="preserve">Paddy vendu en l'etat (t)</t>
  </si>
  <si>
    <t xml:space="preserve">Solde vendu brut aux collecteurs</t>
  </si>
  <si>
    <t xml:space="preserve">Valeur du riz blanc (GNF)</t>
  </si>
  <si>
    <t xml:space="preserve">Tonnes x prix au kg x 1 000</t>
  </si>
  <si>
    <t xml:space="preserve">Valeur du paddy vendu (GNF)</t>
  </si>
  <si>
    <t xml:space="preserve">Chiffre d'affaires riz (GNF)</t>
  </si>
  <si>
    <t xml:space="preserve">3. AFFECTATION ET VALORISATION DU MANIOC</t>
  </si>
  <si>
    <t xml:space="preserve">Racines nettes disponibles (t)</t>
  </si>
  <si>
    <t xml:space="preserve">Racines dirigees vers la transformation (t)</t>
  </si>
  <si>
    <t xml:space="preserve">2024 : prestation externe. 2025 : rapeuse-presse propre</t>
  </si>
  <si>
    <t xml:space="preserve">Gari obtenu (t)</t>
  </si>
  <si>
    <t xml:space="preserve">Racines vendues fraiches (t)</t>
  </si>
  <si>
    <t xml:space="preserve">Valeur du gari (GNF)</t>
  </si>
  <si>
    <t xml:space="preserve">Valeur des racines fraiches (GNF)</t>
  </si>
  <si>
    <t xml:space="preserve">Chiffre d'affaires manioc (GNF)</t>
  </si>
  <si>
    <t xml:space="preserve">4. VALORISATION DU MAIS ET DE L'ARACHIDE</t>
  </si>
  <si>
    <t xml:space="preserve">Mais grain vendu (t)</t>
  </si>
  <si>
    <t xml:space="preserve">Chiffre d'affaires mais (GNF)</t>
  </si>
  <si>
    <t xml:space="preserve">Arachide en coque vendue (t)</t>
  </si>
  <si>
    <t xml:space="preserve">Chiffre d'affaires arachide (GNF)</t>
  </si>
  <si>
    <t xml:space="preserve">5. RECAPITULATIF DES PRODUITS D'EXPLOITATION (GNF)</t>
  </si>
  <si>
    <t xml:space="preserve">Compte SYSCOHADA / Nature du produit</t>
  </si>
  <si>
    <t xml:space="preserve">701 - Ventes de riz (paddy et riz blanc)</t>
  </si>
  <si>
    <t xml:space="preserve">701 - Ventes de mais grain</t>
  </si>
  <si>
    <t xml:space="preserve">701 - Ventes de manioc et de gari</t>
  </si>
  <si>
    <t xml:space="preserve">701 - Ventes d'arachide en coque</t>
  </si>
  <si>
    <t xml:space="preserve">702 - Ventes de sous-produits (son, brisures, fanes d'arachide)</t>
  </si>
  <si>
    <t xml:space="preserve">Valorisation des issues de decorticage en aliment du betail</t>
  </si>
  <si>
    <t xml:space="preserve">706 - Prestations de services (decorticage et battage a facon pour tiers)</t>
  </si>
  <si>
    <t xml:space="preserve">L'unite post-recolte acquise en 2025 travaille aussi pour les producteurs voisins</t>
  </si>
  <si>
    <t xml:space="preserve">TOTAL DES PRODUITS D'EXPLOITATION</t>
  </si>
  <si>
    <t xml:space="preserve">PLAN D'INVESTISSEMENT ET TABLEAU D'AMORTISSEMENT</t>
  </si>
  <si>
    <t xml:space="preserve">Amortissement lineaire, calcul prorata temporis a compter de la mise en service</t>
  </si>
  <si>
    <t xml:space="preserve">1. INVESTISSEMENTS DE LA CAMPAGNE 2024</t>
  </si>
  <si>
    <t xml:space="preserve">Immobilisation</t>
  </si>
  <si>
    <t xml:space="preserve">Valeur d'acquisition (GNF)</t>
  </si>
  <si>
    <t xml:space="preserve">Duree (annees)</t>
  </si>
  <si>
    <t xml:space="preserve">Mois d'amort. 2024</t>
  </si>
  <si>
    <t xml:space="preserve">Dotation 2024 (GNF)</t>
  </si>
  <si>
    <t xml:space="preserve">Dotation 2025 (GNF)</t>
  </si>
  <si>
    <t xml:space="preserve">Amort. cumule au 31/12/2025</t>
  </si>
  <si>
    <t xml:space="preserve">Amenagement et mise en valeur des terres (defriche, dessouchage, pistes, pare-feu)</t>
  </si>
  <si>
    <t xml:space="preserve">Mise en service avril 2024</t>
  </si>
  <si>
    <t xml:space="preserve">Hangar de stockage 150 t et aire de sechage betonnee</t>
  </si>
  <si>
    <t xml:space="preserve">Mise en service aout 2024</t>
  </si>
  <si>
    <t xml:space="preserve">Motoculteur et petit materiel agricole</t>
  </si>
  <si>
    <t xml:space="preserve">Mise en service mars 2024</t>
  </si>
  <si>
    <t xml:space="preserve">Motopompe et equipement d'irrigation d'appoint</t>
  </si>
  <si>
    <t xml:space="preserve">Mise en service mai 2024</t>
  </si>
  <si>
    <t xml:space="preserve">Tricycle de transport et motocyclettes de service</t>
  </si>
  <si>
    <t xml:space="preserve">Mobilier, informatique et installations de bureau</t>
  </si>
  <si>
    <t xml:space="preserve">Sous-total investissements 2024</t>
  </si>
  <si>
    <t xml:space="preserve">2. INVESTISSEMENTS DE LA CAMPAGNE 2025</t>
  </si>
  <si>
    <t xml:space="preserve">Mois d'amort. 2025</t>
  </si>
  <si>
    <t xml:space="preserve">Tracteur 60 CV et train d'outils (charrue, pulveriseur, remorque)</t>
  </si>
  <si>
    <t xml:space="preserve">Mise en service fevrier 2025 - fin du recours aux prestataires</t>
  </si>
  <si>
    <t xml:space="preserve">Unite post-recolte : decortiqueuse 1 t/h, batteuse, rapeuse-presse a gari</t>
  </si>
  <si>
    <t xml:space="preserve">Mise en service mars 2025 - internalisation de la marge d'usinage</t>
  </si>
  <si>
    <t xml:space="preserve">Extension du hangar et magasin d'intrants securise</t>
  </si>
  <si>
    <t xml:space="preserve">Mise en service juin 2025</t>
  </si>
  <si>
    <t xml:space="preserve">Amenagement de 4 ha de bas-fond (planage, diguettes, canaux)</t>
  </si>
  <si>
    <t xml:space="preserve">Mise en service avril 2025 - riziculture a maitrise d'eau</t>
  </si>
  <si>
    <t xml:space="preserve">Materiel agricole complementaire et outillage d'atelier</t>
  </si>
  <si>
    <t xml:space="preserve">Mise en service mai 2025</t>
  </si>
  <si>
    <t xml:space="preserve">Sous-total investissements 2025</t>
  </si>
  <si>
    <t xml:space="preserve">3. SYNTHESE DES IMMOBILISATIONS</t>
  </si>
  <si>
    <t xml:space="preserve">Au 31/12/2024</t>
  </si>
  <si>
    <t xml:space="preserve">Au 31/12/2025</t>
  </si>
  <si>
    <t xml:space="preserve">Immobilisations brutes</t>
  </si>
  <si>
    <t xml:space="preserve">Dotation aux amortissements de l'exercice</t>
  </si>
  <si>
    <t xml:space="preserve">Amortissements cumules</t>
  </si>
  <si>
    <t xml:space="preserve">VALEUR NETTE COMPTABLE</t>
  </si>
  <si>
    <t xml:space="preserve">Le financement de ces investissements figure a l'onglet "Flux &amp; Financement". Aucune immobilisation n'est cedee sur la periode : il n'y a donc ni plus-value ni moins-value de cession a constater.</t>
  </si>
  <si>
    <t xml:space="preserve">CHARGES D'EXPLOITATION DETAILLEES</t>
  </si>
  <si>
    <t xml:space="preserve">Classement par compte du plan comptable SYSCOHADA revise - montants en GNF</t>
  </si>
  <si>
    <t xml:space="preserve">60 - ACHATS ET FOURNITURES CONSOMMES</t>
  </si>
  <si>
    <t xml:space="preserve">Poste de charge</t>
  </si>
  <si>
    <t xml:space="preserve">601 - Semences et boutures</t>
  </si>
  <si>
    <t xml:space="preserve">2024 : riz 1 760 kg, mais 350 kg, arachide 700 kg, boutures 12 ha. 2025 : semence certifiee R1</t>
  </si>
  <si>
    <t xml:space="preserve">602 - Engrais mineraux (NPK 15-15-15 et uree)</t>
  </si>
  <si>
    <t xml:space="preserve">Riz 200 u. NPK + 100 u. uree/ha ; fumure raisonnee sur analyse de sol en 2025</t>
  </si>
  <si>
    <t xml:space="preserve">602 - Amendements et matiere organique (dolomie, fumure organique)</t>
  </si>
  <si>
    <t xml:space="preserve">Correction de l'acidite des sols ferrallitiques, engage a partir de 2025</t>
  </si>
  <si>
    <t xml:space="preserve">602 - Produits phytosanitaires (herbicides, insecticides, traitement de semence)</t>
  </si>
  <si>
    <t xml:space="preserve">Cout unitaire par hectare emblave : 420 000 GNF en 2024, 450 000 GNF en 2025</t>
  </si>
  <si>
    <t xml:space="preserve">604 - Emballages (sacs de 50 kg, baches, ficelles, palettes)</t>
  </si>
  <si>
    <t xml:space="preserve">Volume conditionne en forte hausse avec l'usinage du riz et le gari</t>
  </si>
  <si>
    <t xml:space="preserve">605 - Carburants et lubrifiants</t>
  </si>
  <si>
    <t xml:space="preserve">2025 : tracteur, unite post-recolte et groupe electrogene en fonctionnement propre</t>
  </si>
  <si>
    <t xml:space="preserve">605 - Pieces de rechange, petit outillage et consommables d'atelier</t>
  </si>
  <si>
    <t xml:space="preserve">Entretien du parc mecanique, en hausse avec l'acquisition du tracteur</t>
  </si>
  <si>
    <t xml:space="preserve">Total des achats consommes</t>
  </si>
  <si>
    <t xml:space="preserve">61 / 62 - TRANSPORTS ET SERVICES EXTERIEURS</t>
  </si>
  <si>
    <t xml:space="preserve">61 - Prestations de mecanisation (labour, pulverisage, billonnage)</t>
  </si>
  <si>
    <t xml:space="preserve">2024 : 40 ha travailles par prestataire. 2025 : tracteur propre, prestation residuelle</t>
  </si>
  <si>
    <t xml:space="preserve">61 - Prestation de decorticage du paddy a facon</t>
  </si>
  <si>
    <t xml:space="preserve">700 000 GNF par tonne de paddy usinee ; nul en 2025, decortiqueuse propre</t>
  </si>
  <si>
    <t xml:space="preserve">61 - Prestation de transformation du manioc en gari a facon</t>
  </si>
  <si>
    <t xml:space="preserve">350 000 GNF par tonne de racines ; nul en 2025, rapeuse-presse propre</t>
  </si>
  <si>
    <t xml:space="preserve">61 - Transport, manutention et evacuation vers les marches</t>
  </si>
  <si>
    <t xml:space="preserve">Gueasso vers Lola et N'Zerekore, pistes rurales, tonnage evacue en hausse</t>
  </si>
  <si>
    <t xml:space="preserve">62 - Locations et charges locatives diverses</t>
  </si>
  <si>
    <t xml:space="preserve">62 - Primes d'assurance (recolte, materiel, responsabilite civile)</t>
  </si>
  <si>
    <t xml:space="preserve">2025 : assurance du tracteur et de l'unite post-recolte, assurance recolte indicielle</t>
  </si>
  <si>
    <t xml:space="preserve">62 - Honoraires (expertise comptable, notaire, conseil juridique et technique)</t>
  </si>
  <si>
    <t xml:space="preserve">2025 : frais de constitution de la SARL et tenue comptable reguliere</t>
  </si>
  <si>
    <t xml:space="preserve">62 - Telecommunications, energie et fournitures administratives</t>
  </si>
  <si>
    <t xml:space="preserve">62 - Formation, vulgarisation et encadrement technique</t>
  </si>
  <si>
    <t xml:space="preserve">Appui-conseil agronomique, itineraires techniques, formation des ouvriers</t>
  </si>
  <si>
    <t xml:space="preserve">Total des services exterieurs</t>
  </si>
  <si>
    <t xml:space="preserve">64 - IMPOTS ET TAXES</t>
  </si>
  <si>
    <t xml:space="preserve">64 - Contribution des patentes et licences</t>
  </si>
  <si>
    <t xml:space="preserve">2024 : regime de l'entreprise individuelle. 2025 : patente de la SARL</t>
  </si>
  <si>
    <t xml:space="preserve">64 - Taxes communales, redevances foncieres et coutumieres</t>
  </si>
  <si>
    <t xml:space="preserve">Redevances a la commune rurale de Gueasso et aux autorites coutumieres</t>
  </si>
  <si>
    <t xml:space="preserve">Total des impots et taxes</t>
  </si>
  <si>
    <t xml:space="preserve">66 - CHARGES DE PERSONNEL</t>
  </si>
  <si>
    <t xml:space="preserve">661 - Direction de l'exploitation (1 poste)</t>
  </si>
  <si>
    <t xml:space="preserve">2024 : 3 000 000 GNF x 12 mois. 2025 : 3 600 000 GNF x 12 mois</t>
  </si>
  <si>
    <t xml:space="preserve">661 - Techniciens agricoles (2 en 2024, 3 en 2025)</t>
  </si>
  <si>
    <t xml:space="preserve">1 700 000 GNF x 12 x 2 puis 1 900 000 GNF x 12 x 3</t>
  </si>
  <si>
    <t xml:space="preserve">661 - Responsable transformation et commercialisation (1 poste en 2025)</t>
  </si>
  <si>
    <t xml:space="preserve">Poste cree avec l'unite post-recolte : 2 200 000 GNF x 12 mois</t>
  </si>
  <si>
    <t xml:space="preserve">661 - Ouvriers permanents (4 en 2024, 6 en 2025)</t>
  </si>
  <si>
    <t xml:space="preserve">1 200 000 GNF x 11 mois x 4 puis 1 350 000 GNF x 12 mois x 6</t>
  </si>
  <si>
    <t xml:space="preserve">661 - Gardiennage (2 agents)</t>
  </si>
  <si>
    <t xml:space="preserve">Surveillance du domaine, des magasins et du parc materiel</t>
  </si>
  <si>
    <t xml:space="preserve">Total des salaires bruts permanents</t>
  </si>
  <si>
    <t xml:space="preserve">664 - Charges sociales patronales (CNSS)</t>
  </si>
  <si>
    <t xml:space="preserve">Taux de 18 % applique aux salaires bruts permanents</t>
  </si>
  <si>
    <t xml:space="preserve">662 - Main-d'oeuvre journaliere de campagne</t>
  </si>
  <si>
    <t xml:space="preserve">2 800 h-j a 30 000 GNF en 2024 ; 3 200 h-j a 32 000 GNF en 2025 (semis, sarclages, recolte)</t>
  </si>
  <si>
    <t xml:space="preserve">Total des charges de personnel</t>
  </si>
  <si>
    <t xml:space="preserve">67 - CHARGES FINANCIERES</t>
  </si>
  <si>
    <t xml:space="preserve">Interets sur emprunt de campagne / moyen terme 2024</t>
  </si>
  <si>
    <t xml:space="preserve">Emprunt de 250 000 000 GNF debloque en mars 2024, 5 ans, taux de 14 %</t>
  </si>
  <si>
    <t xml:space="preserve">Interets sur emprunt d'investissement 2025</t>
  </si>
  <si>
    <t xml:space="preserve">Ligne de 450 000 000 GNF debloquee en fevrier 2025, differe de 12 mois, taux de 13 %</t>
  </si>
  <si>
    <t xml:space="preserve">Total des charges financieres</t>
  </si>
  <si>
    <t xml:space="preserve">68 - DOTATIONS AUX AMORTISSEMENTS</t>
  </si>
  <si>
    <t xml:space="preserve">681 - Dotations aux amortissements des immobilisations</t>
  </si>
  <si>
    <t xml:space="preserve">Report de l'onglet Immobilisations, mode lineaire prorata temporis</t>
  </si>
  <si>
    <t xml:space="preserve">RECAPITULATIF GENERAL DES CHARGES</t>
  </si>
  <si>
    <t xml:space="preserve">Rubrique</t>
  </si>
  <si>
    <t xml:space="preserve">Poids dans le total 2025</t>
  </si>
  <si>
    <t xml:space="preserve">Achats et fournitures consommes</t>
  </si>
  <si>
    <t xml:space="preserve">Transports et services exterieurs</t>
  </si>
  <si>
    <t xml:space="preserve">Impots et taxes</t>
  </si>
  <si>
    <t xml:space="preserve">Charges de personnel</t>
  </si>
  <si>
    <t xml:space="preserve">Charges financieres</t>
  </si>
  <si>
    <t xml:space="preserve">Dotations aux amortissements</t>
  </si>
  <si>
    <t xml:space="preserve">TOTAL GENERAL DES CHARGES</t>
  </si>
  <si>
    <t xml:space="preserve">COMPTE DE RESULTAT COMPARATIF</t>
  </si>
  <si>
    <t xml:space="preserve">Campagnes agricoles 2024 et 2025 - presentation SYSCOHADA - montants en GNF</t>
  </si>
  <si>
    <t xml:space="preserve">COMPTE DE RESULTAT DES CAMPAGNES 2024 ET 2025</t>
  </si>
  <si>
    <t xml:space="preserve">Libelle</t>
  </si>
  <si>
    <t xml:space="preserve">Variation en GNF</t>
  </si>
  <si>
    <t xml:space="preserve">Variation en %</t>
  </si>
  <si>
    <t xml:space="preserve">PRODUITS D'EXPLOITATION</t>
  </si>
  <si>
    <t xml:space="preserve">Ventes de produits agricoles et transformes</t>
  </si>
  <si>
    <t xml:space="preserve">Ventes de sous-produits</t>
  </si>
  <si>
    <t xml:space="preserve">Prestations de services rendues aux tiers</t>
  </si>
  <si>
    <t xml:space="preserve">Total des produits d'exploitation (I)</t>
  </si>
  <si>
    <t xml:space="preserve">CHARGES D'EXPLOITATION</t>
  </si>
  <si>
    <t xml:space="preserve">Total des charges d'exploitation (II)</t>
  </si>
  <si>
    <t xml:space="preserve">RESULTAT D'EXPLOITATION (I - II)</t>
  </si>
  <si>
    <t xml:space="preserve">Charges financieres (III)</t>
  </si>
  <si>
    <t xml:space="preserve">RESULTAT FINANCIER (- III)</t>
  </si>
  <si>
    <t xml:space="preserve">RESULTAT AVANT IMPOT</t>
  </si>
  <si>
    <t xml:space="preserve">Impot sur les benefices</t>
  </si>
  <si>
    <t xml:space="preserve">RESULTAT NET DE LA CAMPAGNE</t>
  </si>
  <si>
    <t xml:space="preserve">Capacite d'autofinancement (resultat net + dotations)</t>
  </si>
  <si>
    <t xml:space="preserve">Les deux campagnes degagent un resultat net positif. Le resultat de 2024 est etroit parce que la campagne supporte les couts de premiere installation et une part importante de sous-traitance. En 2025, l'internalisation de la mecanisation et de la transformation, la hausse des rendements et la reduction des pertes post-recolte font plus que compenser l'alourdissement des dotations et des frais financiers lies a l'investissement.</t>
  </si>
  <si>
    <t xml:space="preserve">TABLEAU DES FLUX DE TRESORERIE ET PLAN DE FINANCEMENT</t>
  </si>
  <si>
    <t xml:space="preserve">Campagnes 2024 et 2025 - montants en GNF</t>
  </si>
  <si>
    <t xml:space="preserve">1. ELEMENTS DU BESOIN EN FONDS DE ROULEMENT</t>
  </si>
  <si>
    <t xml:space="preserve">Stocks d'intrants et d'emballages</t>
  </si>
  <si>
    <t xml:space="preserve">Engrais et semences de la campagne suivante approvisionnes en fin d'annee</t>
  </si>
  <si>
    <t xml:space="preserve">Stocks de produits finis (riz, mais, gari en magasin)</t>
  </si>
  <si>
    <t xml:space="preserve">Environ 10 % de la production conservee, valorisee au cout de production</t>
  </si>
  <si>
    <t xml:space="preserve">Creances clients et autres creances</t>
  </si>
  <si>
    <t xml:space="preserve">Ventes a credit court aux grossistes de N'Zerekore et Lola</t>
  </si>
  <si>
    <t xml:space="preserve">Dettes fournisseurs</t>
  </si>
  <si>
    <t xml:space="preserve">Credit fournisseur sur intrants et transport</t>
  </si>
  <si>
    <t xml:space="preserve">Dettes sociales (salaires et CNSS a payer)</t>
  </si>
  <si>
    <t xml:space="preserve">Dettes fiscales (impot sur les benefices a payer)</t>
  </si>
  <si>
    <t xml:space="preserve">Impot de l'exercice restant du a la cloture</t>
  </si>
  <si>
    <t xml:space="preserve">Besoin en fonds de roulement</t>
  </si>
  <si>
    <t xml:space="preserve">Variation du besoin en fonds de roulement</t>
  </si>
  <si>
    <t xml:space="preserve">2. PLAN DE FINANCEMENT</t>
  </si>
  <si>
    <t xml:space="preserve">Ressource / Emploi</t>
  </si>
  <si>
    <t xml:space="preserve">Apports des promoteurs et comptes courants d'associes</t>
  </si>
  <si>
    <t xml:space="preserve">2024 : 200 000 000 d'apports + 120 000 000 de comptes courants. 2025 : 50 000 000 complementaires</t>
  </si>
  <si>
    <t xml:space="preserve">Liberation du capital social de KASI GROUP SARL</t>
  </si>
  <si>
    <t xml:space="preserve">Capital de 10 000 000 GNF integralement libere a la constitution du 19/11/2025</t>
  </si>
  <si>
    <t xml:space="preserve">Emprunt de campagne / moyen terme (5 ans, 14 %)</t>
  </si>
  <si>
    <t xml:space="preserve">Debloque en mars 2024 pour l'amenagement et le fonds de roulement</t>
  </si>
  <si>
    <t xml:space="preserve">Emprunt d'investissement (7 ans, 13 %, differe de 12 mois)</t>
  </si>
  <si>
    <t xml:space="preserve">Finance le tracteur, l'unite post-recolte et l'amenagement du bas-fond</t>
  </si>
  <si>
    <t xml:space="preserve">Remboursement du principal des emprunts</t>
  </si>
  <si>
    <t xml:space="preserve">Amortissement du principal de l'emprunt 2024</t>
  </si>
  <si>
    <t xml:space="preserve">Encours de l'emprunt moyen terme a la cloture</t>
  </si>
  <si>
    <t xml:space="preserve">Encours de l'emprunt d'investissement a la cloture</t>
  </si>
  <si>
    <t xml:space="preserve">3. TABLEAU DES FLUX DE TRESORERIE</t>
  </si>
  <si>
    <t xml:space="preserve">Flux</t>
  </si>
  <si>
    <t xml:space="preserve">Tresorerie a l'ouverture</t>
  </si>
  <si>
    <t xml:space="preserve">Exploitation demarree en 2024, tresorerie initiale nulle</t>
  </si>
  <si>
    <t xml:space="preserve">Capacite d'autofinancement</t>
  </si>
  <si>
    <t xml:space="preserve">Resultat net augmente des dotations aux amortissements</t>
  </si>
  <si>
    <t xml:space="preserve">Flux net de tresorerie d'exploitation</t>
  </si>
  <si>
    <t xml:space="preserve">Acquisitions d'immobilisations</t>
  </si>
  <si>
    <t xml:space="preserve">Flux net de tresorerie d'investissement</t>
  </si>
  <si>
    <t xml:space="preserve">Apports et comptes courants d'associes</t>
  </si>
  <si>
    <t xml:space="preserve">Emprunts nouveaux</t>
  </si>
  <si>
    <t xml:space="preserve">Flux net de tresorerie de financement</t>
  </si>
  <si>
    <t xml:space="preserve">Variation de tresorerie de la campagne</t>
  </si>
  <si>
    <t xml:space="preserve">TRESORERIE A LA CLOTURE</t>
  </si>
  <si>
    <t xml:space="preserve">Disponibilites en banque et en caisse</t>
  </si>
  <si>
    <t xml:space="preserve">BILAN COMPARATIF AU 31 DECEMBRE 2024 ET AU 31 DECEMBRE 2025</t>
  </si>
  <si>
    <t xml:space="preserve">Presentation SYSCOHADA - montants en GNF</t>
  </si>
  <si>
    <t xml:space="preserve">ACTIF</t>
  </si>
  <si>
    <t xml:space="preserve">Poste d'actif</t>
  </si>
  <si>
    <t xml:space="preserve">ACTIF IMMOBILISE</t>
  </si>
  <si>
    <t xml:space="preserve">Amortissements cumules (a deduire)</t>
  </si>
  <si>
    <t xml:space="preserve">Total de l'actif immobilise net</t>
  </si>
  <si>
    <t xml:space="preserve">ACTIF CIRCULANT</t>
  </si>
  <si>
    <t xml:space="preserve">Stocks de produits finis</t>
  </si>
  <si>
    <t xml:space="preserve">Total de l'actif circulant</t>
  </si>
  <si>
    <t xml:space="preserve">TRESORERIE - ACTIF</t>
  </si>
  <si>
    <t xml:space="preserve">Banques, caisse et disponibilites</t>
  </si>
  <si>
    <t xml:space="preserve">TOTAL DE L'ACTIF</t>
  </si>
  <si>
    <t xml:space="preserve">PASSIF</t>
  </si>
  <si>
    <t xml:space="preserve">Poste de passif</t>
  </si>
  <si>
    <t xml:space="preserve">CAPITAUX PROPRES ET RESSOURCES ASSIMILEES</t>
  </si>
  <si>
    <t xml:space="preserve">Capital social libere</t>
  </si>
  <si>
    <t xml:space="preserve">10 000 000 GNF liberes a la constitution du 19/11/2025</t>
  </si>
  <si>
    <t xml:space="preserve">Apports des promoteurs (exploitation en nom propre)</t>
  </si>
  <si>
    <t xml:space="preserve">Reclasses en comptes courants d'associes lors de l'apport a la SARL en 2025</t>
  </si>
  <si>
    <t xml:space="preserve">Report a nouveau (resultat de la campagne 2024)</t>
  </si>
  <si>
    <t xml:space="preserve">Resultat 2024 non distribue, affecte en report a nouveau</t>
  </si>
  <si>
    <t xml:space="preserve">Resultat net de la campagne</t>
  </si>
  <si>
    <t xml:space="preserve">Total des capitaux propres</t>
  </si>
  <si>
    <t xml:space="preserve">Comptes courants d'associes bloques</t>
  </si>
  <si>
    <t xml:space="preserve">2025 : 200 000 000 reclasses + 120 000 000 anterieurs + 50 000 000 nouveaux</t>
  </si>
  <si>
    <t xml:space="preserve">Capitaux propres elargis (y compris comptes courants bloques)</t>
  </si>
  <si>
    <t xml:space="preserve">Agregat retenu par les bailleurs pour apprecier l'autonomie financiere</t>
  </si>
  <si>
    <t xml:space="preserve">DETTES FINANCIERES</t>
  </si>
  <si>
    <t xml:space="preserve">Emprunt moyen terme 2024 (encours)</t>
  </si>
  <si>
    <t xml:space="preserve">Emprunt d'investissement 2025 (encours)</t>
  </si>
  <si>
    <t xml:space="preserve">Total des dettes financieres</t>
  </si>
  <si>
    <t xml:space="preserve">PASSIF CIRCULANT</t>
  </si>
  <si>
    <t xml:space="preserve">Dettes sociales</t>
  </si>
  <si>
    <t xml:space="preserve">Dettes fiscales (impot sur les benefices)</t>
  </si>
  <si>
    <t xml:space="preserve">Total du passif circulant</t>
  </si>
  <si>
    <t xml:space="preserve">TOTAL DU PASSIF</t>
  </si>
  <si>
    <t xml:space="preserve">CONTROLE D'EQUILIBRE DU BILAN</t>
  </si>
  <si>
    <t xml:space="preserve">Total de l'actif</t>
  </si>
  <si>
    <t xml:space="preserve">Total du passif</t>
  </si>
  <si>
    <t xml:space="preserve">Ecart actif - passif (doit etre nul)</t>
  </si>
  <si>
    <t xml:space="preserve">EQUILIBRE FINANCIER</t>
  </si>
  <si>
    <t xml:space="preserve">Indicateur</t>
  </si>
  <si>
    <t xml:space="preserve">Lecture</t>
  </si>
  <si>
    <t xml:space="preserve">Ressources stables (capitaux propres elargis + dettes financieres)</t>
  </si>
  <si>
    <t xml:space="preserve">Actif immobilise net</t>
  </si>
  <si>
    <t xml:space="preserve">Fonds de roulement net global</t>
  </si>
  <si>
    <t xml:space="preserve">Positif : les emplois durables sont finances par des ressources durables</t>
  </si>
  <si>
    <t xml:space="preserve">Tresorerie nette (fonds de roulement - besoin en fonds de roulement)</t>
  </si>
  <si>
    <t xml:space="preserve">Doit egaler la tresorerie inscrite a l'actif</t>
  </si>
  <si>
    <t xml:space="preserve">SOLDES INTERMEDIAIRES DE GESTION, RATIOS ET SEUIL DE RENTABILITE</t>
  </si>
  <si>
    <t xml:space="preserve">Campagnes 2024 et 2025</t>
  </si>
  <si>
    <t xml:space="preserve">1. SOLDES INTERMEDIAIRES DE GESTION (GNF)</t>
  </si>
  <si>
    <t xml:space="preserve">Solde</t>
  </si>
  <si>
    <t xml:space="preserve">Definition</t>
  </si>
  <si>
    <t xml:space="preserve">Chiffre d'affaires et produits d'exploitation</t>
  </si>
  <si>
    <t xml:space="preserve">Total des ventes, sous-produits et prestations</t>
  </si>
  <si>
    <t xml:space="preserve">Consommations intermediaires</t>
  </si>
  <si>
    <t xml:space="preserve">Achats consommes et services exterieurs</t>
  </si>
  <si>
    <t xml:space="preserve">VALEUR AJOUTEE</t>
  </si>
  <si>
    <t xml:space="preserve">Richesse creee par l'exploitation</t>
  </si>
  <si>
    <t xml:space="preserve">EXCEDENT BRUT D'EXPLOITATION</t>
  </si>
  <si>
    <t xml:space="preserve">Performance economique avant amortissements et financement</t>
  </si>
  <si>
    <t xml:space="preserve">RESULTAT D'EXPLOITATION</t>
  </si>
  <si>
    <t xml:space="preserve">RESULTAT NET</t>
  </si>
  <si>
    <t xml:space="preserve">CAPACITE D'AUTOFINANCEMENT</t>
  </si>
  <si>
    <t xml:space="preserve">Resultat net augmente des dotations</t>
  </si>
  <si>
    <t xml:space="preserve">2. RATIOS DE RENTABILITE</t>
  </si>
  <si>
    <t xml:space="preserve">Ratio</t>
  </si>
  <si>
    <t xml:space="preserve">Taux de valeur ajoutee (valeur ajoutee / produits)</t>
  </si>
  <si>
    <t xml:space="preserve">Part de la richesse conservee par l'exploitation</t>
  </si>
  <si>
    <t xml:space="preserve">Taux de marge brute d'exploitation (EBE / produits)</t>
  </si>
  <si>
    <t xml:space="preserve">Au-dela de 25 %, l'exploitation est structurellement saine</t>
  </si>
  <si>
    <t xml:space="preserve">Taux de marge nette (resultat net / produits)</t>
  </si>
  <si>
    <t xml:space="preserve">Rentabilite economique (resultat d'exploitation / total du bilan)</t>
  </si>
  <si>
    <t xml:space="preserve">Rentabilite des capitaux propres elargis (resultat net / capitaux propres elargis)</t>
  </si>
  <si>
    <t xml:space="preserve">3. RATIOS DE STRUCTURE ET DE SOLVABILITE</t>
  </si>
  <si>
    <t xml:space="preserve">Autonomie financiere (capitaux propres elargis / total du bilan)</t>
  </si>
  <si>
    <t xml:space="preserve">Le repli de 2025 traduit l'effet de levier de l'annee d'investissement, non une degradation</t>
  </si>
  <si>
    <t xml:space="preserve">Taux d'endettement financier (dettes financieres / capitaux propres elargis)</t>
  </si>
  <si>
    <t xml:space="preserve">Capacite de remboursement (dettes financieres / capacite d'autofinancement, en annees)</t>
  </si>
  <si>
    <t xml:space="preserve">Norme bancaire : moins de 4 annees. Les deux campagnes sont tres en deca</t>
  </si>
  <si>
    <t xml:space="preserve">Couverture des frais financiers (EBE / charges financieres)</t>
  </si>
  <si>
    <t xml:space="preserve">Norme : superieur a 3. Marge de securite confortable</t>
  </si>
  <si>
    <t xml:space="preserve">Liquidite generale (actif circulant + tresorerie / passif circulant)</t>
  </si>
  <si>
    <t xml:space="preserve">Norme : superieur a 1,5</t>
  </si>
  <si>
    <t xml:space="preserve">4. PERFORMANCE RAMENEE A L'HECTARE (GNF / ha emblave)</t>
  </si>
  <si>
    <t xml:space="preserve">Superficie emblavee (ha)</t>
  </si>
  <si>
    <t xml:space="preserve">Produits d'exploitation par hectare</t>
  </si>
  <si>
    <t xml:space="preserve">Valeur ajoutee par hectare</t>
  </si>
  <si>
    <t xml:space="preserve">Indicateur central de la productivite du foncier</t>
  </si>
  <si>
    <t xml:space="preserve">Excedent brut d'exploitation par hectare</t>
  </si>
  <si>
    <t xml:space="preserve">Resultat net par hectare</t>
  </si>
  <si>
    <t xml:space="preserve">Charges d'exploitation par hectare</t>
  </si>
  <si>
    <t xml:space="preserve">5. SEUIL DE RENTABILITE</t>
  </si>
  <si>
    <t xml:space="preserve">Element</t>
  </si>
  <si>
    <t xml:space="preserve">Methode</t>
  </si>
  <si>
    <t xml:space="preserve">Charges fixes (personnel permanent, dotations, frais financiers, impots et taxes, services fixes)</t>
  </si>
  <si>
    <t xml:space="preserve">Charges variables (charges totales moins charges fixes)</t>
  </si>
  <si>
    <t xml:space="preserve">Marge sur cout variable</t>
  </si>
  <si>
    <t xml:space="preserve">Taux de marge sur cout variable</t>
  </si>
  <si>
    <t xml:space="preserve">SEUIL DE RENTABILITE (chiffre d'affaires critique)</t>
  </si>
  <si>
    <t xml:space="preserve">Seuil de rentabilite en pourcentage des produits</t>
  </si>
  <si>
    <t xml:space="preserve">Plus ce pourcentage est bas, plus l'exploitation resiste a une mauvaise campagne</t>
  </si>
  <si>
    <t xml:space="preserve">Marge de securite (produits - seuil de rentabilite)</t>
  </si>
  <si>
    <t xml:space="preserve">Les charges fixes retenues comprennent les salaires permanents et les charges sociales, les dotations aux amortissements, les charges financieres, les impots et taxes, ainsi que les services exterieurs non lies au volume (locations, assurances, honoraires, telecommunications, formation). Les intrants, la main-d'oeuvre journaliere, le transport et les prestations a facon sont traites en charges variables.</t>
  </si>
  <si>
    <t xml:space="preserve">SYNTHESE COMPARATIVE DES CAMPAGNES 2024 ET 2025</t>
  </si>
  <si>
    <t xml:space="preserve">Deux campagnes beneficiaires, une progression construite sur la technique et la transformation</t>
  </si>
  <si>
    <t xml:space="preserve">1. TABLEAU DE BORD DE LA PROGRESSION</t>
  </si>
  <si>
    <t xml:space="preserve">Ecart en GNF</t>
  </si>
  <si>
    <t xml:space="preserve">Facteur explicatif</t>
  </si>
  <si>
    <t xml:space="preserve">Mise en valeur de 4 ha de bas-fond et reduction de l'emprise non cultivee</t>
  </si>
  <si>
    <t xml:space="preserve">Production totale nette (t)</t>
  </si>
  <si>
    <t xml:space="preserve">Rendements en hausse sur toutes les speculations, pertes divisees par deux</t>
  </si>
  <si>
    <t xml:space="preserve">Produits d'exploitation</t>
  </si>
  <si>
    <t xml:space="preserve">Effet combine des volumes, des prix et de la transformation</t>
  </si>
  <si>
    <t xml:space="preserve">Valeur ajoutee</t>
  </si>
  <si>
    <t xml:space="preserve">L'usinage du riz et le gari sont produits en interne au lieu d'etre sous-traites</t>
  </si>
  <si>
    <t xml:space="preserve">Excedent brut d'exploitation</t>
  </si>
  <si>
    <t xml:space="preserve">La masse salariale progresse moins vite que la valeur ajoutee</t>
  </si>
  <si>
    <t xml:space="preserve">Resultat d'exploitation</t>
  </si>
  <si>
    <t xml:space="preserve">Les deux campagnes sont beneficiaires ; 2025 est nettement superieure a 2024</t>
  </si>
  <si>
    <t xml:space="preserve">Capacite de l'exploitation a financer ses investissements et a rembourser sa dette</t>
  </si>
  <si>
    <t xml:space="preserve">Total du bilan</t>
  </si>
  <si>
    <t xml:space="preserve">Doublement de l'outil de production</t>
  </si>
  <si>
    <t xml:space="preserve">Tresorerie a la cloture</t>
  </si>
  <si>
    <t xml:space="preserve">Tresorerie positive sur les deux campagnes malgre un effort d'investissement lourd</t>
  </si>
  <si>
    <t xml:space="preserve">2. DECOMPOSITION DE L'AMELIORATION DU RESULTAT</t>
  </si>
  <si>
    <t xml:space="preserve">Levier</t>
  </si>
  <si>
    <t xml:space="preserve">Contribution (GNF)</t>
  </si>
  <si>
    <t xml:space="preserve">Explication</t>
  </si>
  <si>
    <t xml:space="preserve">Effet volume et rendement (production nette supplementaire)</t>
  </si>
  <si>
    <t xml:space="preserve">Hausse des rendements de toutes les speculations et reduction des pertes de 10 % a 5 %</t>
  </si>
  <si>
    <t xml:space="preserve">Effet prix et transformation (valorisation unitaire supplementaire)</t>
  </si>
  <si>
    <t xml:space="preserve">Usinage de 85 % du paddy contre 55 %, gari sur 45 % du manioc contre 25 %, prix en hausse</t>
  </si>
  <si>
    <t xml:space="preserve">Total de l'augmentation des produits</t>
  </si>
  <si>
    <t xml:space="preserve">Augmentation des charges d'exploitation et financieres</t>
  </si>
  <si>
    <t xml:space="preserve">Investissement, personnel renforce, dotations et frais financiers en hausse</t>
  </si>
  <si>
    <t xml:space="preserve">Augmentation de l'impot sur les benefices</t>
  </si>
  <si>
    <t xml:space="preserve">AMELIORATION NETTE DU RESULTAT</t>
  </si>
  <si>
    <t xml:space="preserve">Ecart entre le resultat net 2025 et le resultat net 2024</t>
  </si>
  <si>
    <t xml:space="preserve">Controle : resultat net 2025 moins resultat net 2024</t>
  </si>
  <si>
    <t xml:space="preserve">3. CONCLUSION</t>
  </si>
  <si>
    <t xml:space="preserve">- Les deux campagnes se soldent par un resultat net positif, ce qui etait l'objectif de la mise en valeur du domaine de 60 hectares de Gueasso.</t>
  </si>
  <si>
    <t xml:space="preserve">- La campagne 2024 est beneficiaire mais etroite : elle supporte la defriche, l'amenagement initial, une mecanisation entierement sous-traitee et des pertes post-recolte de 10 %. Le seuil de rentabilite y est atteint tard dans la campagne, ce qui laisse peu de marge de securite.</t>
  </si>
  <si>
    <t xml:space="preserve">- La campagne 2025 change d'echelle sans changer de surface. Trois leviers expliquent la progression : des rendements superieurs grace aux semences certifiees et a la fumure raisonnee, la mise en valeur de 4 hectares de bas-fond rizicole a maitrise d'eau, et surtout l'internalisation de la transformation qui fait passer la part du paddy usine de 55 % a 85 % et celle du manioc transforme en gari de 25 % a 45 %.</t>
  </si>
  <si>
    <t xml:space="preserve">- L'investissement de 2025 alourdit mecaniquement les dotations aux amortissements et les charges financieres. Cet alourdissement est plus que compense par la marge d'usinage captee en interne : la valeur ajoutee par hectare double.</t>
  </si>
  <si>
    <t xml:space="preserve">- La structure financiere reste saine sur les deux campagnes : la tresorerie est positive a chaque cloture, le fonds de roulement couvre le besoin en fonds de roulement, et la capacite de remboursement demeure tres en deca de la norme bancaire de quatre annees.</t>
  </si>
  <si>
    <t xml:space="preserve">- Points de vigilance a documenter avant tout engagement : la volatilite des prix du paddy et du manioc, l'irregularite pluviometrique, l'etat des pistes rurales entre Gueasso et N'Zerekore pour l'evacuation des recoltes, et la disponibilite effective de la main-d'oeuvre journaliere aux pics de travaux.</t>
  </si>
</sst>
</file>

<file path=xl/styles.xml><?xml version="1.0" encoding="utf-8"?>
<styleSheet xmlns="http://schemas.openxmlformats.org/spreadsheetml/2006/main">
  <numFmts count="7">
    <numFmt numFmtId="164" formatCode="General"/>
    <numFmt numFmtId="165" formatCode="#,##0.0;\(#,##0.0\);\-"/>
    <numFmt numFmtId="166" formatCode="#,##0.00;\(#,##0.00\);\-"/>
    <numFmt numFmtId="167" formatCode="0.0%"/>
    <numFmt numFmtId="168" formatCode="#,##0;\(#,##0\);\-"/>
    <numFmt numFmtId="169" formatCode="#,##0"/>
    <numFmt numFmtId="170" formatCode="0.00"/>
  </numFmts>
  <fonts count="18">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color rgb="FF404040"/>
      <name val="Arial"/>
      <family val="0"/>
      <charset val="1"/>
    </font>
    <font>
      <sz val="10"/>
      <name val="Arial"/>
      <family val="0"/>
      <charset val="1"/>
    </font>
    <font>
      <b val="true"/>
      <sz val="11"/>
      <color rgb="FFFFFFFF"/>
      <name val="Arial"/>
      <family val="0"/>
      <charset val="1"/>
    </font>
    <font>
      <b val="true"/>
      <sz val="10"/>
      <color rgb="FFC00000"/>
      <name val="Arial"/>
      <family val="0"/>
      <charset val="1"/>
    </font>
    <font>
      <b val="true"/>
      <sz val="10"/>
      <name val="Arial"/>
      <family val="0"/>
      <charset val="1"/>
    </font>
    <font>
      <sz val="10"/>
      <color rgb="FF0000FF"/>
      <name val="Arial"/>
      <family val="0"/>
      <charset val="1"/>
    </font>
    <font>
      <b val="true"/>
      <sz val="10"/>
      <color rgb="FFFFFFFF"/>
      <name val="Arial"/>
      <family val="0"/>
      <charset val="1"/>
    </font>
    <font>
      <i val="true"/>
      <sz val="9"/>
      <color rgb="FF595959"/>
      <name val="Arial"/>
      <family val="0"/>
      <charset val="1"/>
    </font>
    <font>
      <b val="true"/>
      <sz val="10"/>
      <color rgb="FF1F3864"/>
      <name val="Arial"/>
      <family val="0"/>
      <charset val="1"/>
    </font>
    <font>
      <sz val="10"/>
      <color rgb="FF008000"/>
      <name val="Arial"/>
      <family val="0"/>
      <charset val="1"/>
    </font>
    <font>
      <b val="true"/>
      <sz val="11"/>
      <color rgb="FFC00000"/>
      <name val="Arial"/>
      <family val="0"/>
      <charset val="1"/>
    </font>
    <font>
      <b val="true"/>
      <sz val="11"/>
      <color rgb="FF006100"/>
      <name val="Arial"/>
      <family val="0"/>
      <charset val="1"/>
    </font>
    <font>
      <b val="true"/>
      <sz val="10"/>
      <color rgb="FF006100"/>
      <name val="Arial"/>
      <family val="0"/>
      <charset val="1"/>
    </font>
  </fonts>
  <fills count="8">
    <fill>
      <patternFill patternType="none"/>
    </fill>
    <fill>
      <patternFill patternType="gray125"/>
    </fill>
    <fill>
      <patternFill patternType="solid">
        <fgColor rgb="FF1F3864"/>
        <bgColor rgb="FF333399"/>
      </patternFill>
    </fill>
    <fill>
      <patternFill patternType="solid">
        <fgColor rgb="FF2E75B6"/>
        <bgColor rgb="FF0066CC"/>
      </patternFill>
    </fill>
    <fill>
      <patternFill patternType="solid">
        <fgColor rgb="FFD9E2F3"/>
        <bgColor rgb="FFDEEBF7"/>
      </patternFill>
    </fill>
    <fill>
      <patternFill patternType="solid">
        <fgColor rgb="FFFFFF00"/>
        <bgColor rgb="FFFFFF00"/>
      </patternFill>
    </fill>
    <fill>
      <patternFill patternType="solid">
        <fgColor rgb="FFDEEBF7"/>
        <bgColor rgb="FFD9E2F3"/>
      </patternFill>
    </fill>
    <fill>
      <patternFill patternType="solid">
        <fgColor rgb="FFC6EFCE"/>
        <bgColor rgb="FFD9E2F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4" fontId="13" fillId="4" borderId="1" xfId="0" applyFont="true" applyBorder="true" applyAlignment="false" applyProtection="false">
      <alignment horizontal="general" vertical="bottom" textRotation="0" wrapText="false" indent="0" shrinkToFit="false"/>
      <protection locked="true" hidden="false"/>
    </xf>
    <xf numFmtId="165" fontId="13" fillId="4"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6" fontId="10" fillId="5" borderId="1" xfId="0" applyFont="true" applyBorder="true" applyAlignment="false" applyProtection="false">
      <alignment horizontal="general" vertical="bottom" textRotation="0" wrapText="false" indent="0" shrinkToFit="false"/>
      <protection locked="true" hidden="false"/>
    </xf>
    <xf numFmtId="167" fontId="6" fillId="0" borderId="1" xfId="0" applyFont="true" applyBorder="true" applyAlignment="false" applyProtection="false">
      <alignment horizontal="general" vertical="bottom" textRotation="0" wrapText="false" indent="0" shrinkToFit="false"/>
      <protection locked="true" hidden="false"/>
    </xf>
    <xf numFmtId="167" fontId="10" fillId="5"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7" fontId="10" fillId="0" borderId="1" xfId="0" applyFont="true" applyBorder="true" applyAlignment="false" applyProtection="false">
      <alignment horizontal="general" vertical="bottom" textRotation="0" wrapText="false" indent="0" shrinkToFit="false"/>
      <protection locked="true" hidden="false"/>
    </xf>
    <xf numFmtId="168" fontId="10" fillId="5" borderId="1" xfId="0" applyFont="true" applyBorder="true" applyAlignment="false" applyProtection="false">
      <alignment horizontal="general" vertical="bottom" textRotation="0" wrapText="false" indent="0" shrinkToFit="false"/>
      <protection locked="true" hidden="false"/>
    </xf>
    <xf numFmtId="168" fontId="10" fillId="0" borderId="1" xfId="0" applyFont="true" applyBorder="true" applyAlignment="false" applyProtection="false">
      <alignment horizontal="general" vertical="bottom" textRotation="0" wrapText="false" indent="0" shrinkToFit="false"/>
      <protection locked="true" hidden="false"/>
    </xf>
    <xf numFmtId="169" fontId="10" fillId="0"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top" textRotation="0" wrapText="true" indent="0" shrinkToFit="false"/>
      <protection locked="true" hidden="false"/>
    </xf>
    <xf numFmtId="165" fontId="14" fillId="0" borderId="1" xfId="0" applyFont="true" applyBorder="true" applyAlignment="false" applyProtection="false">
      <alignment horizontal="general" vertical="bottom" textRotation="0" wrapText="false" indent="0" shrinkToFit="false"/>
      <protection locked="true" hidden="false"/>
    </xf>
    <xf numFmtId="166" fontId="14"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6" fontId="13" fillId="4" borderId="1" xfId="0" applyFont="true" applyBorder="true" applyAlignment="false" applyProtection="false">
      <alignment horizontal="general" vertical="bottom" textRotation="0" wrapText="false" indent="0" shrinkToFit="false"/>
      <protection locked="true" hidden="false"/>
    </xf>
    <xf numFmtId="168" fontId="6" fillId="0" borderId="1" xfId="0" applyFont="true" applyBorder="true" applyAlignment="false" applyProtection="false">
      <alignment horizontal="general" vertical="bottom" textRotation="0" wrapText="false" indent="0" shrinkToFit="false"/>
      <protection locked="true" hidden="false"/>
    </xf>
    <xf numFmtId="168" fontId="13" fillId="4" borderId="1" xfId="0" applyFont="true" applyBorder="true" applyAlignment="false" applyProtection="false">
      <alignment horizontal="general" vertical="bottom" textRotation="0" wrapText="false" indent="0" shrinkToFit="false"/>
      <protection locked="true" hidden="false"/>
    </xf>
    <xf numFmtId="167" fontId="13" fillId="4"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8" fontId="9" fillId="0" borderId="1" xfId="0" applyFont="true" applyBorder="true" applyAlignment="false" applyProtection="false">
      <alignment horizontal="general" vertical="bottom" textRotation="0" wrapText="false" indent="0" shrinkToFit="false"/>
      <protection locked="true" hidden="false"/>
    </xf>
    <xf numFmtId="168" fontId="14" fillId="0" borderId="1" xfId="0" applyFont="true" applyBorder="true" applyAlignment="false" applyProtection="false">
      <alignment horizontal="general"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4" fontId="14" fillId="0" borderId="1" xfId="0" applyFont="true" applyBorder="true" applyAlignment="false" applyProtection="false">
      <alignment horizontal="general" vertical="bottom" textRotation="0" wrapText="false" indent="0" shrinkToFit="false"/>
      <protection locked="true" hidden="false"/>
    </xf>
    <xf numFmtId="167" fontId="14" fillId="0" borderId="1" xfId="0" applyFont="true" applyBorder="true" applyAlignment="false" applyProtection="false">
      <alignment horizontal="general" vertical="bottom" textRotation="0" wrapText="false" indent="0" shrinkToFit="false"/>
      <protection locked="true" hidden="false"/>
    </xf>
    <xf numFmtId="164" fontId="15" fillId="4" borderId="1" xfId="0" applyFont="true" applyBorder="true" applyAlignment="false" applyProtection="false">
      <alignment horizontal="general" vertical="bottom" textRotation="0" wrapText="false" indent="0" shrinkToFit="false"/>
      <protection locked="true" hidden="false"/>
    </xf>
    <xf numFmtId="168" fontId="15" fillId="4" borderId="1" xfId="0" applyFont="true" applyBorder="true" applyAlignment="false" applyProtection="false">
      <alignment horizontal="general" vertical="bottom" textRotation="0" wrapText="false" indent="0" shrinkToFit="false"/>
      <protection locked="true" hidden="false"/>
    </xf>
    <xf numFmtId="167" fontId="15" fillId="4" borderId="1" xfId="0" applyFont="true" applyBorder="true" applyAlignment="false" applyProtection="false">
      <alignment horizontal="general" vertical="bottom" textRotation="0" wrapText="false" indent="0" shrinkToFit="false"/>
      <protection locked="true" hidden="false"/>
    </xf>
    <xf numFmtId="164" fontId="13" fillId="6" borderId="1" xfId="0" applyFont="true" applyBorder="true" applyAlignment="false" applyProtection="false">
      <alignment horizontal="general" vertical="bottom" textRotation="0" wrapText="fals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4" fontId="16" fillId="7" borderId="0" xfId="0" applyFont="true" applyBorder="false" applyAlignment="false" applyProtection="false">
      <alignment horizontal="general" vertical="bottom" textRotation="0" wrapText="false" indent="0" shrinkToFit="false"/>
      <protection locked="true" hidden="false"/>
    </xf>
    <xf numFmtId="170" fontId="6" fillId="0" borderId="1" xfId="0" applyFont="true" applyBorder="tru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EEBF7"/>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2E75B6"/>
      <rgbColor rgb="FF33CCCC"/>
      <rgbColor rgb="FF99CC00"/>
      <rgbColor rgb="FFFFCC00"/>
      <rgbColor rgb="FFFF9900"/>
      <rgbColor rgb="FFFF6600"/>
      <rgbColor rgb="FF595959"/>
      <rgbColor rgb="FF969696"/>
      <rgbColor rgb="FF1F3864"/>
      <rgbColor rgb="FF339966"/>
      <rgbColor rgb="FF0061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7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18"/>
  </cols>
  <sheetData>
    <row r="1" customFormat="false" ht="24" hidden="false" customHeight="true" outlineLevel="0" collapsed="false">
      <c r="A1" s="1" t="s">
        <v>0</v>
      </c>
    </row>
    <row r="2" customFormat="false" ht="15" hidden="false" customHeight="false" outlineLevel="0" collapsed="false">
      <c r="A2" s="2" t="s">
        <v>1</v>
      </c>
    </row>
    <row r="3" customFormat="false" ht="15" hidden="false" customHeight="false" outlineLevel="0" collapsed="false">
      <c r="A3" s="3"/>
    </row>
    <row r="4" customFormat="false" ht="18" hidden="false" customHeight="true" outlineLevel="0" collapsed="false">
      <c r="A4" s="4" t="s">
        <v>2</v>
      </c>
    </row>
    <row r="5" customFormat="false" ht="15" hidden="false" customHeight="false" outlineLevel="0" collapsed="false">
      <c r="A5" s="3" t="s">
        <v>3</v>
      </c>
    </row>
    <row r="6" customFormat="false" ht="15" hidden="false" customHeight="false" outlineLevel="0" collapsed="false">
      <c r="A6" s="3" t="s">
        <v>4</v>
      </c>
    </row>
    <row r="7" customFormat="false" ht="15" hidden="false" customHeight="false" outlineLevel="0" collapsed="false">
      <c r="A7" s="3" t="s">
        <v>5</v>
      </c>
    </row>
    <row r="8" customFormat="false" ht="15" hidden="false" customHeight="false" outlineLevel="0" collapsed="false">
      <c r="A8" s="3" t="s">
        <v>6</v>
      </c>
    </row>
    <row r="9" customFormat="false" ht="15" hidden="false" customHeight="false" outlineLevel="0" collapsed="false">
      <c r="A9" s="3" t="s">
        <v>7</v>
      </c>
    </row>
    <row r="10" customFormat="false" ht="15" hidden="false" customHeight="false" outlineLevel="0" collapsed="false">
      <c r="A10" s="3" t="s">
        <v>8</v>
      </c>
    </row>
    <row r="11" customFormat="false" ht="15" hidden="false" customHeight="false" outlineLevel="0" collapsed="false">
      <c r="A11" s="3" t="s">
        <v>9</v>
      </c>
    </row>
    <row r="12" customFormat="false" ht="15" hidden="false" customHeight="false" outlineLevel="0" collapsed="false">
      <c r="A12" s="3" t="s">
        <v>10</v>
      </c>
    </row>
    <row r="13" customFormat="false" ht="15" hidden="false" customHeight="false" outlineLevel="0" collapsed="false">
      <c r="A13" s="3" t="s">
        <v>11</v>
      </c>
    </row>
    <row r="14" customFormat="false" ht="15" hidden="false" customHeight="false" outlineLevel="0" collapsed="false">
      <c r="A14" s="3"/>
    </row>
    <row r="15" customFormat="false" ht="18" hidden="false" customHeight="true" outlineLevel="0" collapsed="false">
      <c r="A15" s="4" t="s">
        <v>12</v>
      </c>
    </row>
    <row r="16" customFormat="false" ht="15" hidden="false" customHeight="false" outlineLevel="0" collapsed="false">
      <c r="A16" s="5" t="s">
        <v>13</v>
      </c>
    </row>
    <row r="17" customFormat="false" ht="15" hidden="false" customHeight="false" outlineLevel="0" collapsed="false">
      <c r="A17" s="5" t="s">
        <v>14</v>
      </c>
    </row>
    <row r="18" customFormat="false" ht="15" hidden="false" customHeight="false" outlineLevel="0" collapsed="false">
      <c r="A18" s="5" t="s">
        <v>15</v>
      </c>
    </row>
    <row r="19" customFormat="false" ht="15" hidden="false" customHeight="false" outlineLevel="0" collapsed="false">
      <c r="A19" s="5" t="s">
        <v>16</v>
      </c>
    </row>
    <row r="20" customFormat="false" ht="15" hidden="false" customHeight="false" outlineLevel="0" collapsed="false">
      <c r="A20" s="5" t="s">
        <v>17</v>
      </c>
    </row>
    <row r="21" customFormat="false" ht="15" hidden="false" customHeight="false" outlineLevel="0" collapsed="false">
      <c r="A21" s="3"/>
    </row>
    <row r="22" customFormat="false" ht="15" hidden="false" customHeight="false" outlineLevel="0" collapsed="false">
      <c r="A22" s="3" t="s">
        <v>18</v>
      </c>
    </row>
    <row r="23" customFormat="false" ht="15" hidden="false" customHeight="false" outlineLevel="0" collapsed="false">
      <c r="A23" s="3" t="s">
        <v>19</v>
      </c>
    </row>
    <row r="24" customFormat="false" ht="15" hidden="false" customHeight="false" outlineLevel="0" collapsed="false">
      <c r="A24" s="3" t="s">
        <v>20</v>
      </c>
    </row>
    <row r="25" customFormat="false" ht="15" hidden="false" customHeight="false" outlineLevel="0" collapsed="false">
      <c r="A25" s="3" t="s">
        <v>21</v>
      </c>
    </row>
    <row r="26" customFormat="false" ht="15" hidden="false" customHeight="false" outlineLevel="0" collapsed="false">
      <c r="A26" s="3" t="s">
        <v>22</v>
      </c>
    </row>
    <row r="27" customFormat="false" ht="15" hidden="false" customHeight="false" outlineLevel="0" collapsed="false">
      <c r="A27" s="3"/>
    </row>
    <row r="28" customFormat="false" ht="15" hidden="false" customHeight="false" outlineLevel="0" collapsed="false">
      <c r="A28" s="3" t="s">
        <v>23</v>
      </c>
    </row>
    <row r="29" customFormat="false" ht="15" hidden="false" customHeight="false" outlineLevel="0" collapsed="false">
      <c r="A29" s="3" t="s">
        <v>24</v>
      </c>
    </row>
    <row r="30" customFormat="false" ht="15" hidden="false" customHeight="false" outlineLevel="0" collapsed="false">
      <c r="A30" s="3" t="s">
        <v>25</v>
      </c>
    </row>
    <row r="31" customFormat="false" ht="15" hidden="false" customHeight="false" outlineLevel="0" collapsed="false">
      <c r="A31" s="3"/>
    </row>
    <row r="32" customFormat="false" ht="18" hidden="false" customHeight="true" outlineLevel="0" collapsed="false">
      <c r="A32" s="4" t="s">
        <v>26</v>
      </c>
    </row>
    <row r="33" customFormat="false" ht="15" hidden="false" customHeight="false" outlineLevel="0" collapsed="false">
      <c r="A33" s="3" t="s">
        <v>27</v>
      </c>
    </row>
    <row r="34" customFormat="false" ht="15" hidden="false" customHeight="false" outlineLevel="0" collapsed="false">
      <c r="A34" s="3" t="s">
        <v>28</v>
      </c>
    </row>
    <row r="35" customFormat="false" ht="15" hidden="false" customHeight="false" outlineLevel="0" collapsed="false">
      <c r="A35" s="3" t="s">
        <v>29</v>
      </c>
    </row>
    <row r="36" customFormat="false" ht="15" hidden="false" customHeight="false" outlineLevel="0" collapsed="false">
      <c r="A36" s="3" t="s">
        <v>30</v>
      </c>
    </row>
    <row r="37" customFormat="false" ht="15" hidden="false" customHeight="false" outlineLevel="0" collapsed="false">
      <c r="A37" s="3" t="s">
        <v>31</v>
      </c>
    </row>
    <row r="38" customFormat="false" ht="15" hidden="false" customHeight="false" outlineLevel="0" collapsed="false">
      <c r="A38" s="3" t="s">
        <v>32</v>
      </c>
    </row>
    <row r="39" customFormat="false" ht="15" hidden="false" customHeight="false" outlineLevel="0" collapsed="false">
      <c r="A39" s="3" t="s">
        <v>33</v>
      </c>
    </row>
    <row r="40" customFormat="false" ht="15" hidden="false" customHeight="false" outlineLevel="0" collapsed="false">
      <c r="A40" s="3"/>
    </row>
    <row r="41" customFormat="false" ht="18" hidden="false" customHeight="true" outlineLevel="0" collapsed="false">
      <c r="A41" s="4" t="s">
        <v>34</v>
      </c>
    </row>
    <row r="42" customFormat="false" ht="15" hidden="false" customHeight="false" outlineLevel="0" collapsed="false">
      <c r="A42" s="3" t="s">
        <v>35</v>
      </c>
    </row>
    <row r="43" customFormat="false" ht="15" hidden="false" customHeight="false" outlineLevel="0" collapsed="false">
      <c r="A43" s="3" t="s">
        <v>36</v>
      </c>
    </row>
    <row r="44" customFormat="false" ht="15" hidden="false" customHeight="false" outlineLevel="0" collapsed="false">
      <c r="A44" s="3" t="s">
        <v>37</v>
      </c>
    </row>
    <row r="45" customFormat="false" ht="15" hidden="false" customHeight="false" outlineLevel="0" collapsed="false">
      <c r="A45" s="3" t="s">
        <v>38</v>
      </c>
    </row>
    <row r="46" customFormat="false" ht="15" hidden="false" customHeight="false" outlineLevel="0" collapsed="false">
      <c r="A46" s="3"/>
    </row>
    <row r="47" customFormat="false" ht="18" hidden="false" customHeight="true" outlineLevel="0" collapsed="false">
      <c r="A47" s="4" t="s">
        <v>39</v>
      </c>
    </row>
    <row r="48" customFormat="false" ht="15" hidden="false" customHeight="false" outlineLevel="0" collapsed="false">
      <c r="A48" s="3" t="s">
        <v>40</v>
      </c>
    </row>
    <row r="49" customFormat="false" ht="15" hidden="false" customHeight="false" outlineLevel="0" collapsed="false">
      <c r="A49" s="3" t="s">
        <v>41</v>
      </c>
    </row>
    <row r="50" customFormat="false" ht="15" hidden="false" customHeight="false" outlineLevel="0" collapsed="false">
      <c r="A50" s="3" t="s">
        <v>42</v>
      </c>
    </row>
    <row r="51" customFormat="false" ht="15" hidden="false" customHeight="false" outlineLevel="0" collapsed="false">
      <c r="A51" s="3" t="s">
        <v>43</v>
      </c>
    </row>
    <row r="52" customFormat="false" ht="15" hidden="false" customHeight="false" outlineLevel="0" collapsed="false">
      <c r="A52" s="3" t="s">
        <v>44</v>
      </c>
    </row>
    <row r="53" customFormat="false" ht="15" hidden="false" customHeight="false" outlineLevel="0" collapsed="false">
      <c r="A53" s="3" t="s">
        <v>45</v>
      </c>
    </row>
    <row r="54" customFormat="false" ht="15" hidden="false" customHeight="false" outlineLevel="0" collapsed="false">
      <c r="A54" s="3" t="s">
        <v>46</v>
      </c>
    </row>
    <row r="55" customFormat="false" ht="15" hidden="false" customHeight="false" outlineLevel="0" collapsed="false">
      <c r="A55" s="3"/>
    </row>
    <row r="56" customFormat="false" ht="18" hidden="false" customHeight="true" outlineLevel="0" collapsed="false">
      <c r="A56" s="4" t="s">
        <v>47</v>
      </c>
    </row>
    <row r="57" customFormat="false" ht="15" hidden="false" customHeight="false" outlineLevel="0" collapsed="false">
      <c r="A57" s="3" t="s">
        <v>48</v>
      </c>
    </row>
    <row r="58" customFormat="false" ht="15" hidden="false" customHeight="false" outlineLevel="0" collapsed="false">
      <c r="A58" s="3" t="s">
        <v>49</v>
      </c>
    </row>
    <row r="59" customFormat="false" ht="15" hidden="false" customHeight="false" outlineLevel="0" collapsed="false">
      <c r="A59" s="3" t="s">
        <v>50</v>
      </c>
    </row>
    <row r="60" customFormat="false" ht="15" hidden="false" customHeight="false" outlineLevel="0" collapsed="false">
      <c r="A60" s="3" t="s">
        <v>51</v>
      </c>
    </row>
    <row r="61" customFormat="false" ht="15" hidden="false" customHeight="false" outlineLevel="0" collapsed="false">
      <c r="A61" s="3"/>
    </row>
    <row r="62" customFormat="false" ht="18" hidden="false" customHeight="true" outlineLevel="0" collapsed="false">
      <c r="A62" s="4" t="s">
        <v>52</v>
      </c>
    </row>
    <row r="63" customFormat="false" ht="15" hidden="false" customHeight="false" outlineLevel="0" collapsed="false">
      <c r="A63" s="3" t="s">
        <v>53</v>
      </c>
    </row>
    <row r="64" customFormat="false" ht="15" hidden="false" customHeight="false" outlineLevel="0" collapsed="false">
      <c r="A64" s="3" t="s">
        <v>54</v>
      </c>
    </row>
    <row r="65" customFormat="false" ht="15" hidden="false" customHeight="false" outlineLevel="0" collapsed="false">
      <c r="A65" s="3" t="s">
        <v>55</v>
      </c>
    </row>
    <row r="66" customFormat="false" ht="15" hidden="false" customHeight="false" outlineLevel="0" collapsed="false">
      <c r="A66" s="3" t="s">
        <v>56</v>
      </c>
    </row>
    <row r="67" customFormat="false" ht="15" hidden="false" customHeight="false" outlineLevel="0" collapsed="false">
      <c r="A67" s="3" t="s">
        <v>57</v>
      </c>
    </row>
    <row r="68" customFormat="false" ht="15" hidden="false" customHeight="false" outlineLevel="0" collapsed="false">
      <c r="A68" s="3" t="s">
        <v>58</v>
      </c>
    </row>
    <row r="69" customFormat="false" ht="15" hidden="false" customHeight="false" outlineLevel="0" collapsed="false">
      <c r="A69" s="3" t="s">
        <v>59</v>
      </c>
    </row>
    <row r="70" customFormat="false" ht="15" hidden="false" customHeight="false" outlineLevel="0" collapsed="false">
      <c r="A70" s="3" t="s">
        <v>60</v>
      </c>
    </row>
    <row r="71" customFormat="false" ht="15" hidden="false" customHeight="false" outlineLevel="0" collapsed="false">
      <c r="A71" s="3" t="s">
        <v>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58"/>
    <col collapsed="false" customWidth="true" hidden="false" outlineLevel="0" max="4" min="2" style="0" width="18"/>
    <col collapsed="false" customWidth="true" hidden="false" outlineLevel="0" max="5" min="5" style="0" width="62"/>
  </cols>
  <sheetData>
    <row r="1" customFormat="false" ht="24" hidden="false" customHeight="true" outlineLevel="0" collapsed="false">
      <c r="A1" s="6" t="s">
        <v>62</v>
      </c>
      <c r="B1" s="6"/>
      <c r="C1" s="6"/>
      <c r="D1" s="6"/>
      <c r="E1" s="6"/>
    </row>
    <row r="2" customFormat="false" ht="15" hidden="false" customHeight="false" outlineLevel="0" collapsed="false">
      <c r="A2" s="7" t="s">
        <v>63</v>
      </c>
      <c r="B2" s="7"/>
      <c r="C2" s="7"/>
      <c r="D2" s="7"/>
      <c r="E2" s="7"/>
    </row>
    <row r="4" customFormat="false" ht="19.5" hidden="false" customHeight="true" outlineLevel="0" collapsed="false">
      <c r="A4" s="4" t="s">
        <v>64</v>
      </c>
      <c r="B4" s="4"/>
      <c r="C4" s="4"/>
      <c r="D4" s="4"/>
      <c r="E4" s="4"/>
    </row>
    <row r="5" customFormat="false" ht="15" hidden="false" customHeight="false" outlineLevel="0" collapsed="false">
      <c r="A5" s="8" t="s">
        <v>65</v>
      </c>
      <c r="B5" s="9" t="s">
        <v>66</v>
      </c>
    </row>
    <row r="6" customFormat="false" ht="15" hidden="false" customHeight="false" outlineLevel="0" collapsed="false">
      <c r="A6" s="8" t="s">
        <v>67</v>
      </c>
      <c r="B6" s="9" t="s">
        <v>68</v>
      </c>
    </row>
    <row r="7" customFormat="false" ht="15" hidden="false" customHeight="false" outlineLevel="0" collapsed="false">
      <c r="A7" s="8" t="s">
        <v>69</v>
      </c>
      <c r="B7" s="9" t="s">
        <v>70</v>
      </c>
    </row>
    <row r="8" customFormat="false" ht="15" hidden="false" customHeight="false" outlineLevel="0" collapsed="false">
      <c r="A8" s="8" t="s">
        <v>71</v>
      </c>
      <c r="B8" s="9" t="s">
        <v>72</v>
      </c>
    </row>
    <row r="9" customFormat="false" ht="15" hidden="false" customHeight="false" outlineLevel="0" collapsed="false">
      <c r="A9" s="8" t="s">
        <v>73</v>
      </c>
      <c r="B9" s="10" t="n">
        <v>60</v>
      </c>
    </row>
    <row r="10" customFormat="false" ht="15" hidden="false" customHeight="false" outlineLevel="0" collapsed="false">
      <c r="A10" s="8" t="s">
        <v>74</v>
      </c>
      <c r="B10" s="9" t="s">
        <v>75</v>
      </c>
    </row>
    <row r="12" customFormat="false" ht="19.5" hidden="false" customHeight="true" outlineLevel="0" collapsed="false">
      <c r="A12" s="4" t="s">
        <v>76</v>
      </c>
      <c r="B12" s="4"/>
      <c r="C12" s="4"/>
      <c r="D12" s="4"/>
      <c r="E12" s="4"/>
    </row>
    <row r="13" customFormat="false" ht="30" hidden="false" customHeight="true" outlineLevel="0" collapsed="false">
      <c r="A13" s="11" t="s">
        <v>77</v>
      </c>
      <c r="B13" s="11" t="s">
        <v>78</v>
      </c>
      <c r="C13" s="11" t="s">
        <v>79</v>
      </c>
      <c r="D13" s="11" t="s">
        <v>80</v>
      </c>
      <c r="E13" s="11" t="s">
        <v>81</v>
      </c>
    </row>
    <row r="14" customFormat="false" ht="15" hidden="false" customHeight="false" outlineLevel="0" collapsed="false">
      <c r="A14" s="12" t="s">
        <v>82</v>
      </c>
      <c r="B14" s="10" t="n">
        <v>22</v>
      </c>
      <c r="C14" s="10" t="n">
        <v>23</v>
      </c>
      <c r="D14" s="13" t="n">
        <f aca="false">C14-B14</f>
        <v>1</v>
      </c>
      <c r="E14" s="14" t="s">
        <v>83</v>
      </c>
    </row>
    <row r="15" customFormat="false" ht="15" hidden="false" customHeight="false" outlineLevel="0" collapsed="false">
      <c r="A15" s="12" t="s">
        <v>84</v>
      </c>
      <c r="B15" s="10" t="n">
        <v>0</v>
      </c>
      <c r="C15" s="10" t="n">
        <v>4</v>
      </c>
      <c r="D15" s="13" t="n">
        <f aca="false">C15-B15</f>
        <v>4</v>
      </c>
      <c r="E15" s="14" t="s">
        <v>85</v>
      </c>
    </row>
    <row r="16" customFormat="false" ht="15" hidden="false" customHeight="false" outlineLevel="0" collapsed="false">
      <c r="A16" s="12" t="s">
        <v>86</v>
      </c>
      <c r="B16" s="10" t="n">
        <v>14</v>
      </c>
      <c r="C16" s="10" t="n">
        <v>14</v>
      </c>
      <c r="D16" s="13" t="n">
        <f aca="false">C16-B16</f>
        <v>0</v>
      </c>
      <c r="E16" s="14" t="s">
        <v>87</v>
      </c>
    </row>
    <row r="17" customFormat="false" ht="15" hidden="false" customHeight="false" outlineLevel="0" collapsed="false">
      <c r="A17" s="12" t="s">
        <v>88</v>
      </c>
      <c r="B17" s="10" t="n">
        <v>12</v>
      </c>
      <c r="C17" s="10" t="n">
        <v>11</v>
      </c>
      <c r="D17" s="13" t="n">
        <f aca="false">C17-B17</f>
        <v>-1</v>
      </c>
      <c r="E17" s="14" t="s">
        <v>89</v>
      </c>
    </row>
    <row r="18" customFormat="false" ht="15" hidden="false" customHeight="false" outlineLevel="0" collapsed="false">
      <c r="A18" s="12" t="s">
        <v>90</v>
      </c>
      <c r="B18" s="10" t="n">
        <v>7</v>
      </c>
      <c r="C18" s="10" t="n">
        <v>6</v>
      </c>
      <c r="D18" s="13" t="n">
        <f aca="false">C18-B18</f>
        <v>-1</v>
      </c>
      <c r="E18" s="14" t="s">
        <v>91</v>
      </c>
    </row>
    <row r="19" customFormat="false" ht="15" hidden="false" customHeight="false" outlineLevel="0" collapsed="false">
      <c r="A19" s="15" t="s">
        <v>92</v>
      </c>
      <c r="B19" s="16" t="n">
        <f aca="false">SUM(B14:B18)</f>
        <v>55</v>
      </c>
      <c r="C19" s="16" t="n">
        <f aca="false">SUM(C14:C18)</f>
        <v>58</v>
      </c>
      <c r="D19" s="16" t="n">
        <f aca="false">C19-B19</f>
        <v>3</v>
      </c>
    </row>
    <row r="20" customFormat="false" ht="15" hidden="false" customHeight="false" outlineLevel="0" collapsed="false">
      <c r="A20" s="12" t="s">
        <v>93</v>
      </c>
      <c r="B20" s="13" t="n">
        <f aca="false">$B$9-B19</f>
        <v>5</v>
      </c>
      <c r="C20" s="13" t="n">
        <f aca="false">$B$9-C19</f>
        <v>2</v>
      </c>
      <c r="D20" s="13" t="n">
        <f aca="false">C20-B20</f>
        <v>-3</v>
      </c>
      <c r="E20" s="17" t="s">
        <v>94</v>
      </c>
    </row>
    <row r="22" customFormat="false" ht="19.5" hidden="false" customHeight="true" outlineLevel="0" collapsed="false">
      <c r="A22" s="4" t="s">
        <v>95</v>
      </c>
      <c r="B22" s="4"/>
      <c r="C22" s="4"/>
      <c r="D22" s="4"/>
      <c r="E22" s="4"/>
    </row>
    <row r="23" customFormat="false" ht="30" hidden="false" customHeight="true" outlineLevel="0" collapsed="false">
      <c r="A23" s="11" t="s">
        <v>77</v>
      </c>
      <c r="B23" s="11" t="s">
        <v>78</v>
      </c>
      <c r="C23" s="11" t="s">
        <v>79</v>
      </c>
      <c r="D23" s="11" t="s">
        <v>96</v>
      </c>
      <c r="E23" s="11" t="s">
        <v>97</v>
      </c>
    </row>
    <row r="24" customFormat="false" ht="15" hidden="false" customHeight="false" outlineLevel="0" collapsed="false">
      <c r="A24" s="12" t="s">
        <v>82</v>
      </c>
      <c r="B24" s="18" t="n">
        <v>2.6</v>
      </c>
      <c r="C24" s="18" t="n">
        <v>3.3</v>
      </c>
      <c r="D24" s="19" t="n">
        <f aca="false">IF(B24=0,"n.a.",C24/B24-1)</f>
        <v>0.269230769230769</v>
      </c>
      <c r="E24" s="14" t="s">
        <v>98</v>
      </c>
    </row>
    <row r="25" customFormat="false" ht="15" hidden="false" customHeight="false" outlineLevel="0" collapsed="false">
      <c r="A25" s="12" t="s">
        <v>84</v>
      </c>
      <c r="B25" s="18" t="n">
        <v>0</v>
      </c>
      <c r="C25" s="18" t="n">
        <v>4.5</v>
      </c>
      <c r="D25" s="19" t="str">
        <f aca="false">IF(B25=0,"n.a.",C25/B25-1)</f>
        <v>n.a.</v>
      </c>
      <c r="E25" s="14" t="s">
        <v>99</v>
      </c>
    </row>
    <row r="26" customFormat="false" ht="15" hidden="false" customHeight="false" outlineLevel="0" collapsed="false">
      <c r="A26" s="12" t="s">
        <v>86</v>
      </c>
      <c r="B26" s="18" t="n">
        <v>2.9</v>
      </c>
      <c r="C26" s="18" t="n">
        <v>3.7</v>
      </c>
      <c r="D26" s="19" t="n">
        <f aca="false">IF(B26=0,"n.a.",C26/B26-1)</f>
        <v>0.275862068965517</v>
      </c>
      <c r="E26" s="14" t="s">
        <v>100</v>
      </c>
    </row>
    <row r="27" customFormat="false" ht="15" hidden="false" customHeight="false" outlineLevel="0" collapsed="false">
      <c r="A27" s="12" t="s">
        <v>101</v>
      </c>
      <c r="B27" s="18" t="n">
        <v>13.5</v>
      </c>
      <c r="C27" s="18" t="n">
        <v>17</v>
      </c>
      <c r="D27" s="19" t="n">
        <f aca="false">IF(B27=0,"n.a.",C27/B27-1)</f>
        <v>0.259259259259259</v>
      </c>
      <c r="E27" s="14" t="s">
        <v>102</v>
      </c>
    </row>
    <row r="28" customFormat="false" ht="15" hidden="false" customHeight="false" outlineLevel="0" collapsed="false">
      <c r="A28" s="12" t="s">
        <v>103</v>
      </c>
      <c r="B28" s="18" t="n">
        <v>1.35</v>
      </c>
      <c r="C28" s="18" t="n">
        <v>1.7</v>
      </c>
      <c r="D28" s="19" t="n">
        <f aca="false">IF(B28=0,"n.a.",C28/B28-1)</f>
        <v>0.259259259259259</v>
      </c>
      <c r="E28" s="14" t="s">
        <v>104</v>
      </c>
    </row>
    <row r="30" customFormat="false" ht="19.5" hidden="false" customHeight="true" outlineLevel="0" collapsed="false">
      <c r="A30" s="4" t="s">
        <v>105</v>
      </c>
      <c r="B30" s="4"/>
      <c r="C30" s="4"/>
      <c r="D30" s="4"/>
      <c r="E30" s="4"/>
    </row>
    <row r="31" customFormat="false" ht="30" hidden="false" customHeight="true" outlineLevel="0" collapsed="false">
      <c r="A31" s="11" t="s">
        <v>106</v>
      </c>
      <c r="B31" s="11" t="s">
        <v>78</v>
      </c>
      <c r="C31" s="11" t="s">
        <v>79</v>
      </c>
      <c r="D31" s="11"/>
      <c r="E31" s="11" t="s">
        <v>107</v>
      </c>
    </row>
    <row r="32" customFormat="false" ht="15" hidden="false" customHeight="false" outlineLevel="0" collapsed="false">
      <c r="A32" s="12" t="s">
        <v>108</v>
      </c>
      <c r="B32" s="20" t="n">
        <v>0.1</v>
      </c>
      <c r="C32" s="20" t="n">
        <v>0.05</v>
      </c>
      <c r="D32" s="21"/>
      <c r="E32" s="14" t="s">
        <v>109</v>
      </c>
    </row>
    <row r="33" customFormat="false" ht="15" hidden="false" customHeight="false" outlineLevel="0" collapsed="false">
      <c r="A33" s="12" t="s">
        <v>110</v>
      </c>
      <c r="B33" s="22" t="n">
        <v>0.65</v>
      </c>
      <c r="C33" s="22" t="n">
        <v>0.65</v>
      </c>
      <c r="D33" s="21"/>
      <c r="E33" s="14" t="s">
        <v>111</v>
      </c>
    </row>
    <row r="34" customFormat="false" ht="15" hidden="false" customHeight="false" outlineLevel="0" collapsed="false">
      <c r="A34" s="12" t="s">
        <v>112</v>
      </c>
      <c r="B34" s="22" t="n">
        <v>0.22</v>
      </c>
      <c r="C34" s="22" t="n">
        <v>0.22</v>
      </c>
      <c r="D34" s="21"/>
      <c r="E34" s="14" t="s">
        <v>113</v>
      </c>
    </row>
    <row r="35" customFormat="false" ht="15" hidden="false" customHeight="false" outlineLevel="0" collapsed="false">
      <c r="A35" s="12" t="s">
        <v>114</v>
      </c>
      <c r="B35" s="20" t="n">
        <v>0.55</v>
      </c>
      <c r="C35" s="20" t="n">
        <v>0.85</v>
      </c>
      <c r="D35" s="21"/>
      <c r="E35" s="14" t="s">
        <v>115</v>
      </c>
    </row>
    <row r="36" customFormat="false" ht="15" hidden="false" customHeight="false" outlineLevel="0" collapsed="false">
      <c r="A36" s="12" t="s">
        <v>116</v>
      </c>
      <c r="B36" s="20" t="n">
        <v>0.25</v>
      </c>
      <c r="C36" s="20" t="n">
        <v>0.45</v>
      </c>
      <c r="D36" s="21"/>
      <c r="E36" s="14" t="s">
        <v>117</v>
      </c>
    </row>
    <row r="38" customFormat="false" ht="19.5" hidden="false" customHeight="true" outlineLevel="0" collapsed="false">
      <c r="A38" s="4" t="s">
        <v>118</v>
      </c>
      <c r="B38" s="4"/>
      <c r="C38" s="4"/>
      <c r="D38" s="4"/>
      <c r="E38" s="4"/>
    </row>
    <row r="39" customFormat="false" ht="30" hidden="false" customHeight="true" outlineLevel="0" collapsed="false">
      <c r="A39" s="11" t="s">
        <v>119</v>
      </c>
      <c r="B39" s="11" t="s">
        <v>78</v>
      </c>
      <c r="C39" s="11" t="s">
        <v>79</v>
      </c>
      <c r="D39" s="11" t="s">
        <v>80</v>
      </c>
      <c r="E39" s="11" t="s">
        <v>120</v>
      </c>
    </row>
    <row r="40" customFormat="false" ht="15" hidden="false" customHeight="false" outlineLevel="0" collapsed="false">
      <c r="A40" s="12" t="s">
        <v>121</v>
      </c>
      <c r="B40" s="23" t="n">
        <v>5000</v>
      </c>
      <c r="C40" s="23" t="n">
        <v>5400</v>
      </c>
      <c r="D40" s="19" t="n">
        <f aca="false">C40/B40-1</f>
        <v>0.0800000000000001</v>
      </c>
      <c r="E40" s="14" t="s">
        <v>122</v>
      </c>
    </row>
    <row r="41" customFormat="false" ht="15" hidden="false" customHeight="false" outlineLevel="0" collapsed="false">
      <c r="A41" s="12" t="s">
        <v>123</v>
      </c>
      <c r="B41" s="23" t="n">
        <v>11500</v>
      </c>
      <c r="C41" s="23" t="n">
        <v>12500</v>
      </c>
      <c r="D41" s="19" t="n">
        <f aca="false">C41/B41-1</f>
        <v>0.0869565217391304</v>
      </c>
      <c r="E41" s="14" t="s">
        <v>124</v>
      </c>
    </row>
    <row r="42" customFormat="false" ht="15" hidden="false" customHeight="false" outlineLevel="0" collapsed="false">
      <c r="A42" s="12" t="s">
        <v>125</v>
      </c>
      <c r="B42" s="23" t="n">
        <v>4200</v>
      </c>
      <c r="C42" s="23" t="n">
        <v>4600</v>
      </c>
      <c r="D42" s="19" t="n">
        <f aca="false">C42/B42-1</f>
        <v>0.0952380952380953</v>
      </c>
      <c r="E42" s="14" t="s">
        <v>126</v>
      </c>
    </row>
    <row r="43" customFormat="false" ht="15" hidden="false" customHeight="false" outlineLevel="0" collapsed="false">
      <c r="A43" s="12" t="s">
        <v>127</v>
      </c>
      <c r="B43" s="23" t="n">
        <v>1700</v>
      </c>
      <c r="C43" s="23" t="n">
        <v>1850</v>
      </c>
      <c r="D43" s="19" t="n">
        <f aca="false">C43/B43-1</f>
        <v>0.088235294117647</v>
      </c>
      <c r="E43" s="14" t="s">
        <v>128</v>
      </c>
    </row>
    <row r="44" customFormat="false" ht="15" hidden="false" customHeight="false" outlineLevel="0" collapsed="false">
      <c r="A44" s="12" t="s">
        <v>129</v>
      </c>
      <c r="B44" s="23" t="n">
        <v>9000</v>
      </c>
      <c r="C44" s="23" t="n">
        <v>10000</v>
      </c>
      <c r="D44" s="19" t="n">
        <f aca="false">C44/B44-1</f>
        <v>0.111111111111111</v>
      </c>
      <c r="E44" s="14" t="s">
        <v>130</v>
      </c>
    </row>
    <row r="45" customFormat="false" ht="15" hidden="false" customHeight="false" outlineLevel="0" collapsed="false">
      <c r="A45" s="12" t="s">
        <v>131</v>
      </c>
      <c r="B45" s="23" t="n">
        <v>9500</v>
      </c>
      <c r="C45" s="23" t="n">
        <v>10500</v>
      </c>
      <c r="D45" s="19" t="n">
        <f aca="false">C45/B45-1</f>
        <v>0.105263157894737</v>
      </c>
      <c r="E45" s="14" t="s">
        <v>132</v>
      </c>
    </row>
    <row r="47" customFormat="false" ht="19.5" hidden="false" customHeight="true" outlineLevel="0" collapsed="false">
      <c r="A47" s="4" t="s">
        <v>133</v>
      </c>
      <c r="B47" s="4"/>
      <c r="C47" s="4"/>
      <c r="D47" s="4"/>
      <c r="E47" s="4"/>
    </row>
    <row r="48" customFormat="false" ht="30" hidden="false" customHeight="true" outlineLevel="0" collapsed="false">
      <c r="A48" s="11" t="s">
        <v>106</v>
      </c>
      <c r="B48" s="11" t="s">
        <v>78</v>
      </c>
      <c r="C48" s="11" t="s">
        <v>79</v>
      </c>
      <c r="D48" s="11"/>
      <c r="E48" s="11" t="s">
        <v>107</v>
      </c>
    </row>
    <row r="49" customFormat="false" ht="15" hidden="false" customHeight="false" outlineLevel="0" collapsed="false">
      <c r="A49" s="12" t="s">
        <v>134</v>
      </c>
      <c r="B49" s="22" t="n">
        <v>0.25</v>
      </c>
      <c r="C49" s="22" t="n">
        <v>0.25</v>
      </c>
      <c r="D49" s="21"/>
      <c r="E49" s="14" t="s">
        <v>135</v>
      </c>
    </row>
    <row r="50" customFormat="false" ht="15" hidden="false" customHeight="false" outlineLevel="0" collapsed="false">
      <c r="A50" s="12" t="s">
        <v>136</v>
      </c>
      <c r="B50" s="22" t="n">
        <v>0.14</v>
      </c>
      <c r="C50" s="22" t="n">
        <v>0.14</v>
      </c>
      <c r="D50" s="21"/>
      <c r="E50" s="14" t="s">
        <v>137</v>
      </c>
    </row>
    <row r="51" customFormat="false" ht="15" hidden="false" customHeight="false" outlineLevel="0" collapsed="false">
      <c r="A51" s="12" t="s">
        <v>138</v>
      </c>
      <c r="B51" s="22" t="n">
        <v>0</v>
      </c>
      <c r="C51" s="22" t="n">
        <v>0.13</v>
      </c>
      <c r="D51" s="21"/>
      <c r="E51" s="14" t="s">
        <v>139</v>
      </c>
    </row>
    <row r="52" customFormat="false" ht="15" hidden="false" customHeight="false" outlineLevel="0" collapsed="false">
      <c r="A52" s="12" t="s">
        <v>140</v>
      </c>
      <c r="B52" s="22" t="n">
        <v>0.18</v>
      </c>
      <c r="C52" s="22" t="n">
        <v>0.18</v>
      </c>
      <c r="D52" s="21"/>
      <c r="E52" s="14" t="s">
        <v>141</v>
      </c>
    </row>
    <row r="53" customFormat="false" ht="15" hidden="false" customHeight="false" outlineLevel="0" collapsed="false">
      <c r="A53" s="12" t="s">
        <v>142</v>
      </c>
      <c r="B53" s="24" t="n">
        <v>30000</v>
      </c>
      <c r="C53" s="24" t="n">
        <v>32000</v>
      </c>
      <c r="D53" s="21"/>
      <c r="E53" s="14" t="s">
        <v>143</v>
      </c>
    </row>
    <row r="54" customFormat="false" ht="15" hidden="false" customHeight="false" outlineLevel="0" collapsed="false">
      <c r="A54" s="12" t="s">
        <v>144</v>
      </c>
      <c r="B54" s="25" t="n">
        <v>2800</v>
      </c>
      <c r="C54" s="25" t="n">
        <v>3200</v>
      </c>
      <c r="D54" s="21"/>
      <c r="E54" s="14" t="s">
        <v>145</v>
      </c>
    </row>
    <row r="55" customFormat="false" ht="15" hidden="false" customHeight="false" outlineLevel="0" collapsed="false">
      <c r="A55" s="12" t="s">
        <v>146</v>
      </c>
      <c r="B55" s="24" t="n">
        <v>8600</v>
      </c>
      <c r="C55" s="24" t="n">
        <v>8700</v>
      </c>
      <c r="D55" s="21"/>
      <c r="E55" s="14" t="s">
        <v>147</v>
      </c>
    </row>
    <row r="57" customFormat="false" ht="30" hidden="false" customHeight="true" outlineLevel="0" collapsed="false">
      <c r="A57" s="26" t="s">
        <v>148</v>
      </c>
      <c r="B57" s="26"/>
      <c r="C57" s="26"/>
      <c r="D57" s="26"/>
      <c r="E57" s="26"/>
    </row>
  </sheetData>
  <mergeCells count="3">
    <mergeCell ref="A1:E1"/>
    <mergeCell ref="A2:E2"/>
    <mergeCell ref="A57:E5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52"/>
    <col collapsed="false" customWidth="true" hidden="false" outlineLevel="0" max="9" min="2" style="0" width="16"/>
    <col collapsed="false" customWidth="true" hidden="false" outlineLevel="0" max="10" min="10" style="0" width="44"/>
  </cols>
  <sheetData>
    <row r="1" customFormat="false" ht="24" hidden="false" customHeight="true" outlineLevel="0" collapsed="false">
      <c r="A1" s="6" t="s">
        <v>149</v>
      </c>
      <c r="B1" s="6"/>
      <c r="C1" s="6"/>
      <c r="D1" s="6"/>
      <c r="E1" s="6"/>
      <c r="F1" s="6"/>
      <c r="G1" s="6"/>
      <c r="H1" s="6"/>
      <c r="I1" s="6"/>
    </row>
    <row r="2" customFormat="false" ht="15" hidden="false" customHeight="false" outlineLevel="0" collapsed="false">
      <c r="A2" s="7" t="s">
        <v>150</v>
      </c>
      <c r="B2" s="7"/>
      <c r="C2" s="7"/>
      <c r="D2" s="7"/>
      <c r="E2" s="7"/>
      <c r="F2" s="7"/>
      <c r="G2" s="7"/>
      <c r="H2" s="7"/>
      <c r="I2" s="7"/>
    </row>
    <row r="4" customFormat="false" ht="19.5" hidden="false" customHeight="true" outlineLevel="0" collapsed="false">
      <c r="A4" s="4" t="s">
        <v>151</v>
      </c>
      <c r="B4" s="4"/>
      <c r="C4" s="4"/>
      <c r="D4" s="4"/>
      <c r="E4" s="4"/>
      <c r="F4" s="4"/>
      <c r="G4" s="4"/>
      <c r="H4" s="4"/>
      <c r="I4" s="4"/>
      <c r="J4" s="4"/>
    </row>
    <row r="5" customFormat="false" ht="30" hidden="false" customHeight="true" outlineLevel="0" collapsed="false">
      <c r="A5" s="11" t="s">
        <v>77</v>
      </c>
      <c r="B5" s="11" t="s">
        <v>152</v>
      </c>
      <c r="C5" s="11" t="s">
        <v>153</v>
      </c>
      <c r="D5" s="11" t="s">
        <v>154</v>
      </c>
      <c r="E5" s="11" t="s">
        <v>155</v>
      </c>
      <c r="F5" s="11" t="s">
        <v>156</v>
      </c>
      <c r="G5" s="11" t="s">
        <v>157</v>
      </c>
      <c r="H5" s="11" t="s">
        <v>158</v>
      </c>
      <c r="I5" s="11" t="s">
        <v>159</v>
      </c>
    </row>
    <row r="6" customFormat="false" ht="15" hidden="false" customHeight="false" outlineLevel="0" collapsed="false">
      <c r="A6" s="12" t="s">
        <v>82</v>
      </c>
      <c r="B6" s="27" t="n">
        <f aca="false">Hypotheses!B14</f>
        <v>22</v>
      </c>
      <c r="C6" s="28" t="n">
        <f aca="false">Hypotheses!B24</f>
        <v>2.6</v>
      </c>
      <c r="D6" s="29" t="n">
        <f aca="false">B6*C6</f>
        <v>57.2</v>
      </c>
      <c r="E6" s="29" t="n">
        <f aca="false">D6*(1-Hypotheses!$B$32)</f>
        <v>51.48</v>
      </c>
      <c r="F6" s="27" t="n">
        <f aca="false">Hypotheses!C14</f>
        <v>23</v>
      </c>
      <c r="G6" s="28" t="n">
        <f aca="false">Hypotheses!C24</f>
        <v>3.3</v>
      </c>
      <c r="H6" s="29" t="n">
        <f aca="false">F6*G6</f>
        <v>75.9</v>
      </c>
      <c r="I6" s="29" t="n">
        <f aca="false">H6*(1-Hypotheses!$C$32)</f>
        <v>72.105</v>
      </c>
    </row>
    <row r="7" customFormat="false" ht="15" hidden="false" customHeight="false" outlineLevel="0" collapsed="false">
      <c r="A7" s="12" t="s">
        <v>84</v>
      </c>
      <c r="B7" s="27" t="n">
        <f aca="false">Hypotheses!B15</f>
        <v>0</v>
      </c>
      <c r="C7" s="28" t="n">
        <f aca="false">Hypotheses!B25</f>
        <v>0</v>
      </c>
      <c r="D7" s="29" t="n">
        <f aca="false">B7*C7</f>
        <v>0</v>
      </c>
      <c r="E7" s="29" t="n">
        <f aca="false">D7*(1-Hypotheses!$B$32)</f>
        <v>0</v>
      </c>
      <c r="F7" s="27" t="n">
        <f aca="false">Hypotheses!C15</f>
        <v>4</v>
      </c>
      <c r="G7" s="28" t="n">
        <f aca="false">Hypotheses!C25</f>
        <v>4.5</v>
      </c>
      <c r="H7" s="29" t="n">
        <f aca="false">F7*G7</f>
        <v>18</v>
      </c>
      <c r="I7" s="29" t="n">
        <f aca="false">H7*(1-Hypotheses!$C$32)</f>
        <v>17.1</v>
      </c>
    </row>
    <row r="8" customFormat="false" ht="15" hidden="false" customHeight="false" outlineLevel="0" collapsed="false">
      <c r="A8" s="12" t="s">
        <v>86</v>
      </c>
      <c r="B8" s="27" t="n">
        <f aca="false">Hypotheses!B16</f>
        <v>14</v>
      </c>
      <c r="C8" s="28" t="n">
        <f aca="false">Hypotheses!B26</f>
        <v>2.9</v>
      </c>
      <c r="D8" s="29" t="n">
        <f aca="false">B8*C8</f>
        <v>40.6</v>
      </c>
      <c r="E8" s="29" t="n">
        <f aca="false">D8*(1-Hypotheses!$B$32)</f>
        <v>36.54</v>
      </c>
      <c r="F8" s="27" t="n">
        <f aca="false">Hypotheses!C16</f>
        <v>14</v>
      </c>
      <c r="G8" s="28" t="n">
        <f aca="false">Hypotheses!C26</f>
        <v>3.7</v>
      </c>
      <c r="H8" s="29" t="n">
        <f aca="false">F8*G8</f>
        <v>51.8</v>
      </c>
      <c r="I8" s="29" t="n">
        <f aca="false">H8*(1-Hypotheses!$C$32)</f>
        <v>49.21</v>
      </c>
    </row>
    <row r="9" customFormat="false" ht="15" hidden="false" customHeight="false" outlineLevel="0" collapsed="false">
      <c r="A9" s="12" t="s">
        <v>101</v>
      </c>
      <c r="B9" s="27" t="n">
        <f aca="false">Hypotheses!B17</f>
        <v>12</v>
      </c>
      <c r="C9" s="28" t="n">
        <f aca="false">Hypotheses!B27</f>
        <v>13.5</v>
      </c>
      <c r="D9" s="29" t="n">
        <f aca="false">B9*C9</f>
        <v>162</v>
      </c>
      <c r="E9" s="29" t="n">
        <f aca="false">D9*(1-Hypotheses!$B$32)</f>
        <v>145.8</v>
      </c>
      <c r="F9" s="27" t="n">
        <f aca="false">Hypotheses!C17</f>
        <v>11</v>
      </c>
      <c r="G9" s="28" t="n">
        <f aca="false">Hypotheses!C27</f>
        <v>17</v>
      </c>
      <c r="H9" s="29" t="n">
        <f aca="false">F9*G9</f>
        <v>187</v>
      </c>
      <c r="I9" s="29" t="n">
        <f aca="false">H9*(1-Hypotheses!$C$32)</f>
        <v>177.65</v>
      </c>
    </row>
    <row r="10" customFormat="false" ht="15" hidden="false" customHeight="false" outlineLevel="0" collapsed="false">
      <c r="A10" s="12" t="s">
        <v>103</v>
      </c>
      <c r="B10" s="27" t="n">
        <f aca="false">Hypotheses!B18</f>
        <v>7</v>
      </c>
      <c r="C10" s="28" t="n">
        <f aca="false">Hypotheses!B28</f>
        <v>1.35</v>
      </c>
      <c r="D10" s="29" t="n">
        <f aca="false">B10*C10</f>
        <v>9.45</v>
      </c>
      <c r="E10" s="29" t="n">
        <f aca="false">D10*(1-Hypotheses!$B$32)</f>
        <v>8.505</v>
      </c>
      <c r="F10" s="27" t="n">
        <f aca="false">Hypotheses!C18</f>
        <v>6</v>
      </c>
      <c r="G10" s="28" t="n">
        <f aca="false">Hypotheses!C28</f>
        <v>1.7</v>
      </c>
      <c r="H10" s="29" t="n">
        <f aca="false">F10*G10</f>
        <v>10.2</v>
      </c>
      <c r="I10" s="29" t="n">
        <f aca="false">H10*(1-Hypotheses!$C$32)</f>
        <v>9.69</v>
      </c>
    </row>
    <row r="11" customFormat="false" ht="15" hidden="false" customHeight="false" outlineLevel="0" collapsed="false">
      <c r="A11" s="15" t="s">
        <v>160</v>
      </c>
      <c r="B11" s="16" t="n">
        <f aca="false">SUM(B6:B10)</f>
        <v>55</v>
      </c>
      <c r="C11" s="30" t="n">
        <f aca="false">SUM(C6:C10)</f>
        <v>20.35</v>
      </c>
      <c r="D11" s="30" t="n">
        <f aca="false">SUM(D6:D10)</f>
        <v>269.25</v>
      </c>
      <c r="E11" s="30" t="n">
        <f aca="false">SUM(E6:E10)</f>
        <v>242.325</v>
      </c>
      <c r="F11" s="16" t="n">
        <f aca="false">SUM(F6:F10)</f>
        <v>58</v>
      </c>
      <c r="G11" s="30" t="n">
        <f aca="false">SUM(G6:G10)</f>
        <v>30.2</v>
      </c>
      <c r="H11" s="30" t="n">
        <f aca="false">SUM(H6:H10)</f>
        <v>342.9</v>
      </c>
      <c r="I11" s="30" t="n">
        <f aca="false">SUM(I6:I10)</f>
        <v>325.755</v>
      </c>
    </row>
    <row r="13" customFormat="false" ht="19.5" hidden="false" customHeight="true" outlineLevel="0" collapsed="false">
      <c r="A13" s="4" t="s">
        <v>161</v>
      </c>
      <c r="B13" s="4"/>
      <c r="C13" s="4"/>
      <c r="D13" s="4"/>
      <c r="E13" s="4"/>
      <c r="F13" s="4"/>
      <c r="G13" s="4"/>
      <c r="H13" s="4"/>
      <c r="I13" s="4"/>
      <c r="J13" s="4"/>
    </row>
    <row r="14" customFormat="false" ht="30" hidden="false" customHeight="true" outlineLevel="0" collapsed="false">
      <c r="A14" s="11" t="s">
        <v>162</v>
      </c>
      <c r="B14" s="11" t="s">
        <v>78</v>
      </c>
      <c r="C14" s="11" t="s">
        <v>79</v>
      </c>
      <c r="D14" s="11"/>
      <c r="E14" s="11"/>
      <c r="F14" s="11"/>
      <c r="G14" s="11"/>
      <c r="H14" s="11"/>
      <c r="I14" s="11"/>
      <c r="J14" s="11" t="s">
        <v>107</v>
      </c>
    </row>
    <row r="15" customFormat="false" ht="15" hidden="false" customHeight="false" outlineLevel="0" collapsed="false">
      <c r="A15" s="12" t="s">
        <v>163</v>
      </c>
      <c r="B15" s="29" t="n">
        <f aca="false">E6+E7</f>
        <v>51.48</v>
      </c>
      <c r="C15" s="29" t="n">
        <f aca="false">I6+I7</f>
        <v>89.205</v>
      </c>
      <c r="J15" s="17" t="s">
        <v>164</v>
      </c>
    </row>
    <row r="16" customFormat="false" ht="15" hidden="false" customHeight="false" outlineLevel="0" collapsed="false">
      <c r="A16" s="12" t="s">
        <v>165</v>
      </c>
      <c r="B16" s="29" t="n">
        <f aca="false">B15*Hypotheses!B35</f>
        <v>28.314</v>
      </c>
      <c r="C16" s="29" t="n">
        <f aca="false">C15*Hypotheses!C35</f>
        <v>75.82425</v>
      </c>
      <c r="J16" s="17" t="s">
        <v>166</v>
      </c>
    </row>
    <row r="17" customFormat="false" ht="15" hidden="false" customHeight="false" outlineLevel="0" collapsed="false">
      <c r="A17" s="12" t="s">
        <v>167</v>
      </c>
      <c r="B17" s="29" t="n">
        <f aca="false">B16*Hypotheses!B33</f>
        <v>18.4041</v>
      </c>
      <c r="C17" s="29" t="n">
        <f aca="false">C16*Hypotheses!C33</f>
        <v>49.2857625</v>
      </c>
      <c r="J17" s="17" t="s">
        <v>168</v>
      </c>
    </row>
    <row r="18" customFormat="false" ht="15" hidden="false" customHeight="false" outlineLevel="0" collapsed="false">
      <c r="A18" s="12" t="s">
        <v>169</v>
      </c>
      <c r="B18" s="29" t="n">
        <f aca="false">B15-B16</f>
        <v>23.166</v>
      </c>
      <c r="C18" s="29" t="n">
        <f aca="false">C15-C16</f>
        <v>13.38075</v>
      </c>
      <c r="J18" s="17" t="s">
        <v>170</v>
      </c>
    </row>
    <row r="19" customFormat="false" ht="15" hidden="false" customHeight="false" outlineLevel="0" collapsed="false">
      <c r="A19" s="12" t="s">
        <v>171</v>
      </c>
      <c r="B19" s="31" t="n">
        <f aca="false">B17*Hypotheses!B41*1000</f>
        <v>211647150</v>
      </c>
      <c r="C19" s="31" t="n">
        <f aca="false">C17*Hypotheses!C41*1000</f>
        <v>616072031.25</v>
      </c>
      <c r="J19" s="17" t="s">
        <v>172</v>
      </c>
    </row>
    <row r="20" customFormat="false" ht="15" hidden="false" customHeight="false" outlineLevel="0" collapsed="false">
      <c r="A20" s="12" t="s">
        <v>173</v>
      </c>
      <c r="B20" s="31" t="n">
        <f aca="false">B18*Hypotheses!B40*1000</f>
        <v>115830000</v>
      </c>
      <c r="C20" s="31" t="n">
        <f aca="false">C18*Hypotheses!C40*1000</f>
        <v>72256050</v>
      </c>
      <c r="J20" s="17"/>
    </row>
    <row r="21" customFormat="false" ht="15" hidden="false" customHeight="false" outlineLevel="0" collapsed="false">
      <c r="A21" s="15" t="s">
        <v>174</v>
      </c>
      <c r="B21" s="32" t="n">
        <f aca="false">B19+B20</f>
        <v>327477150</v>
      </c>
      <c r="C21" s="32" t="n">
        <f aca="false">C19+C20</f>
        <v>688328081.25</v>
      </c>
      <c r="J21" s="17"/>
    </row>
    <row r="23" customFormat="false" ht="19.5" hidden="false" customHeight="true" outlineLevel="0" collapsed="false">
      <c r="A23" s="4" t="s">
        <v>175</v>
      </c>
      <c r="B23" s="4"/>
      <c r="C23" s="4"/>
      <c r="D23" s="4"/>
      <c r="E23" s="4"/>
      <c r="F23" s="4"/>
      <c r="G23" s="4"/>
      <c r="H23" s="4"/>
      <c r="I23" s="4"/>
      <c r="J23" s="4"/>
    </row>
    <row r="24" customFormat="false" ht="30" hidden="false" customHeight="true" outlineLevel="0" collapsed="false">
      <c r="A24" s="11" t="s">
        <v>162</v>
      </c>
      <c r="B24" s="11" t="s">
        <v>78</v>
      </c>
      <c r="C24" s="11" t="s">
        <v>79</v>
      </c>
      <c r="D24" s="11"/>
      <c r="E24" s="11"/>
      <c r="F24" s="11"/>
      <c r="G24" s="11"/>
      <c r="H24" s="11"/>
      <c r="I24" s="11"/>
      <c r="J24" s="11" t="s">
        <v>107</v>
      </c>
    </row>
    <row r="25" customFormat="false" ht="15" hidden="false" customHeight="false" outlineLevel="0" collapsed="false">
      <c r="A25" s="12" t="s">
        <v>176</v>
      </c>
      <c r="B25" s="29" t="n">
        <f aca="false">E9</f>
        <v>145.8</v>
      </c>
      <c r="C25" s="29" t="n">
        <f aca="false">I9</f>
        <v>177.65</v>
      </c>
      <c r="J25" s="17"/>
    </row>
    <row r="26" customFormat="false" ht="15" hidden="false" customHeight="false" outlineLevel="0" collapsed="false">
      <c r="A26" s="12" t="s">
        <v>177</v>
      </c>
      <c r="B26" s="29" t="n">
        <f aca="false">B25*Hypotheses!B36</f>
        <v>36.45</v>
      </c>
      <c r="C26" s="29" t="n">
        <f aca="false">C25*Hypotheses!C36</f>
        <v>79.9425</v>
      </c>
      <c r="J26" s="17" t="s">
        <v>178</v>
      </c>
    </row>
    <row r="27" customFormat="false" ht="15" hidden="false" customHeight="false" outlineLevel="0" collapsed="false">
      <c r="A27" s="12" t="s">
        <v>179</v>
      </c>
      <c r="B27" s="29" t="n">
        <f aca="false">B26*Hypotheses!B34</f>
        <v>8.019</v>
      </c>
      <c r="C27" s="29" t="n">
        <f aca="false">C26*Hypotheses!C34</f>
        <v>17.58735</v>
      </c>
      <c r="J27" s="17"/>
    </row>
    <row r="28" customFormat="false" ht="15" hidden="false" customHeight="false" outlineLevel="0" collapsed="false">
      <c r="A28" s="12" t="s">
        <v>180</v>
      </c>
      <c r="B28" s="29" t="n">
        <f aca="false">B25-B26</f>
        <v>109.35</v>
      </c>
      <c r="C28" s="29" t="n">
        <f aca="false">C25-C26</f>
        <v>97.7075</v>
      </c>
      <c r="J28" s="17"/>
    </row>
    <row r="29" customFormat="false" ht="15" hidden="false" customHeight="false" outlineLevel="0" collapsed="false">
      <c r="A29" s="12" t="s">
        <v>181</v>
      </c>
      <c r="B29" s="31" t="n">
        <f aca="false">B27*Hypotheses!B44*1000</f>
        <v>72171000</v>
      </c>
      <c r="C29" s="31" t="n">
        <f aca="false">C27*Hypotheses!C44*1000</f>
        <v>175873500</v>
      </c>
      <c r="J29" s="17"/>
    </row>
    <row r="30" customFormat="false" ht="15" hidden="false" customHeight="false" outlineLevel="0" collapsed="false">
      <c r="A30" s="12" t="s">
        <v>182</v>
      </c>
      <c r="B30" s="31" t="n">
        <f aca="false">B28*Hypotheses!B43*1000</f>
        <v>185895000</v>
      </c>
      <c r="C30" s="31" t="n">
        <f aca="false">C28*Hypotheses!C43*1000</f>
        <v>180758875</v>
      </c>
      <c r="J30" s="17"/>
    </row>
    <row r="31" customFormat="false" ht="15" hidden="false" customHeight="false" outlineLevel="0" collapsed="false">
      <c r="A31" s="15" t="s">
        <v>183</v>
      </c>
      <c r="B31" s="32" t="n">
        <f aca="false">B29+B30</f>
        <v>258066000</v>
      </c>
      <c r="C31" s="32" t="n">
        <f aca="false">C29+C30</f>
        <v>356632375</v>
      </c>
      <c r="J31" s="17"/>
    </row>
    <row r="33" customFormat="false" ht="19.5" hidden="false" customHeight="true" outlineLevel="0" collapsed="false">
      <c r="A33" s="4" t="s">
        <v>184</v>
      </c>
      <c r="B33" s="4"/>
      <c r="C33" s="4"/>
      <c r="D33" s="4"/>
      <c r="E33" s="4"/>
      <c r="F33" s="4"/>
      <c r="G33" s="4"/>
      <c r="H33" s="4"/>
      <c r="I33" s="4"/>
      <c r="J33" s="4"/>
    </row>
    <row r="34" customFormat="false" ht="30" hidden="false" customHeight="true" outlineLevel="0" collapsed="false">
      <c r="A34" s="11" t="s">
        <v>162</v>
      </c>
      <c r="B34" s="11" t="s">
        <v>78</v>
      </c>
      <c r="C34" s="11" t="s">
        <v>79</v>
      </c>
      <c r="D34" s="11"/>
      <c r="E34" s="11"/>
      <c r="F34" s="11"/>
      <c r="G34" s="11"/>
      <c r="H34" s="11"/>
      <c r="I34" s="11"/>
      <c r="J34" s="11" t="s">
        <v>107</v>
      </c>
    </row>
    <row r="35" customFormat="false" ht="15" hidden="false" customHeight="false" outlineLevel="0" collapsed="false">
      <c r="A35" s="12" t="s">
        <v>185</v>
      </c>
      <c r="B35" s="29" t="n">
        <f aca="false">E8</f>
        <v>36.54</v>
      </c>
      <c r="C35" s="29" t="n">
        <f aca="false">I8</f>
        <v>49.21</v>
      </c>
    </row>
    <row r="36" customFormat="false" ht="15" hidden="false" customHeight="false" outlineLevel="0" collapsed="false">
      <c r="A36" s="15" t="s">
        <v>186</v>
      </c>
      <c r="B36" s="32" t="n">
        <f aca="false">B35*Hypotheses!B42*1000</f>
        <v>153468000</v>
      </c>
      <c r="C36" s="32" t="n">
        <f aca="false">C35*Hypotheses!C42*1000</f>
        <v>226366000</v>
      </c>
    </row>
    <row r="37" customFormat="false" ht="15" hidden="false" customHeight="false" outlineLevel="0" collapsed="false">
      <c r="A37" s="12" t="s">
        <v>187</v>
      </c>
      <c r="B37" s="29" t="n">
        <f aca="false">E10</f>
        <v>8.505</v>
      </c>
      <c r="C37" s="29" t="n">
        <f aca="false">I10</f>
        <v>9.69</v>
      </c>
    </row>
    <row r="38" customFormat="false" ht="15" hidden="false" customHeight="false" outlineLevel="0" collapsed="false">
      <c r="A38" s="15" t="s">
        <v>188</v>
      </c>
      <c r="B38" s="32" t="n">
        <f aca="false">B37*Hypotheses!B45*1000</f>
        <v>80797500</v>
      </c>
      <c r="C38" s="32" t="n">
        <f aca="false">C37*Hypotheses!C45*1000</f>
        <v>101745000</v>
      </c>
    </row>
    <row r="40" customFormat="false" ht="19.5" hidden="false" customHeight="true" outlineLevel="0" collapsed="false">
      <c r="A40" s="4" t="s">
        <v>189</v>
      </c>
      <c r="B40" s="4"/>
      <c r="C40" s="4"/>
      <c r="D40" s="4"/>
      <c r="E40" s="4"/>
      <c r="F40" s="4"/>
      <c r="G40" s="4"/>
      <c r="H40" s="4"/>
      <c r="I40" s="4"/>
      <c r="J40" s="4"/>
    </row>
    <row r="41" customFormat="false" ht="30" hidden="false" customHeight="true" outlineLevel="0" collapsed="false">
      <c r="A41" s="11" t="s">
        <v>190</v>
      </c>
      <c r="B41" s="11" t="s">
        <v>78</v>
      </c>
      <c r="C41" s="11" t="s">
        <v>79</v>
      </c>
      <c r="D41" s="11" t="s">
        <v>80</v>
      </c>
      <c r="E41" s="11"/>
      <c r="F41" s="11"/>
      <c r="G41" s="11"/>
      <c r="H41" s="11"/>
      <c r="I41" s="11"/>
      <c r="J41" s="11" t="s">
        <v>107</v>
      </c>
    </row>
    <row r="42" customFormat="false" ht="15" hidden="false" customHeight="false" outlineLevel="0" collapsed="false">
      <c r="A42" s="12" t="s">
        <v>191</v>
      </c>
      <c r="B42" s="31" t="n">
        <f aca="false">B21</f>
        <v>327477150</v>
      </c>
      <c r="C42" s="31" t="n">
        <f aca="false">C21</f>
        <v>688328081.25</v>
      </c>
      <c r="D42" s="19" t="n">
        <f aca="false">IF(B42=0,"n.a.",C42/B42-1)</f>
        <v>1.10191178605897</v>
      </c>
    </row>
    <row r="43" customFormat="false" ht="15" hidden="false" customHeight="false" outlineLevel="0" collapsed="false">
      <c r="A43" s="12" t="s">
        <v>192</v>
      </c>
      <c r="B43" s="31" t="n">
        <f aca="false">B36</f>
        <v>153468000</v>
      </c>
      <c r="C43" s="31" t="n">
        <f aca="false">C36</f>
        <v>226366000</v>
      </c>
      <c r="D43" s="19" t="n">
        <f aca="false">IF(B43=0,"n.a.",C43/B43-1)</f>
        <v>0.475004561211458</v>
      </c>
    </row>
    <row r="44" customFormat="false" ht="15" hidden="false" customHeight="false" outlineLevel="0" collapsed="false">
      <c r="A44" s="12" t="s">
        <v>193</v>
      </c>
      <c r="B44" s="31" t="n">
        <f aca="false">B31</f>
        <v>258066000</v>
      </c>
      <c r="C44" s="31" t="n">
        <f aca="false">C31</f>
        <v>356632375</v>
      </c>
      <c r="D44" s="19" t="n">
        <f aca="false">IF(B44=0,"n.a.",C44/B44-1)</f>
        <v>0.381942506955585</v>
      </c>
    </row>
    <row r="45" customFormat="false" ht="15" hidden="false" customHeight="false" outlineLevel="0" collapsed="false">
      <c r="A45" s="12" t="s">
        <v>194</v>
      </c>
      <c r="B45" s="31" t="n">
        <f aca="false">B38</f>
        <v>80797500</v>
      </c>
      <c r="C45" s="31" t="n">
        <f aca="false">C38</f>
        <v>101745000</v>
      </c>
      <c r="D45" s="19" t="n">
        <f aca="false">IF(B45=0,"n.a.",C45/B45-1)</f>
        <v>0.259259259259259</v>
      </c>
    </row>
    <row r="46" customFormat="false" ht="15" hidden="false" customHeight="false" outlineLevel="0" collapsed="false">
      <c r="A46" s="9" t="s">
        <v>195</v>
      </c>
      <c r="B46" s="24" t="n">
        <v>14000000</v>
      </c>
      <c r="C46" s="24" t="n">
        <v>28000000</v>
      </c>
      <c r="D46" s="19" t="n">
        <f aca="false">IF(B46=0,"n.a.",C46/B46-1)</f>
        <v>1</v>
      </c>
      <c r="J46" s="17" t="s">
        <v>196</v>
      </c>
    </row>
    <row r="47" customFormat="false" ht="15" hidden="false" customHeight="false" outlineLevel="0" collapsed="false">
      <c r="A47" s="9" t="s">
        <v>197</v>
      </c>
      <c r="B47" s="24" t="n">
        <v>0</v>
      </c>
      <c r="C47" s="24" t="n">
        <v>42000000</v>
      </c>
      <c r="D47" s="19" t="str">
        <f aca="false">IF(B47=0,"n.a.",C47/B47-1)</f>
        <v>n.a.</v>
      </c>
      <c r="J47" s="17" t="s">
        <v>198</v>
      </c>
    </row>
    <row r="48" customFormat="false" ht="15" hidden="false" customHeight="false" outlineLevel="0" collapsed="false">
      <c r="A48" s="15" t="s">
        <v>199</v>
      </c>
      <c r="B48" s="32" t="n">
        <f aca="false">SUM(B42:B47)</f>
        <v>833808650</v>
      </c>
      <c r="C48" s="32" t="n">
        <f aca="false">SUM(C42:C47)</f>
        <v>1443071456.25</v>
      </c>
      <c r="D48" s="33" t="n">
        <f aca="false">C48/B48-1</f>
        <v>0.730698591637302</v>
      </c>
    </row>
  </sheetData>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58"/>
    <col collapsed="false" customWidth="true" hidden="false" outlineLevel="0" max="7" min="2" style="0" width="17"/>
    <col collapsed="false" customWidth="true" hidden="false" outlineLevel="0" max="8" min="8" style="0" width="40"/>
  </cols>
  <sheetData>
    <row r="1" customFormat="false" ht="24" hidden="false" customHeight="true" outlineLevel="0" collapsed="false">
      <c r="A1" s="6" t="s">
        <v>200</v>
      </c>
      <c r="B1" s="6"/>
      <c r="C1" s="6"/>
      <c r="D1" s="6"/>
      <c r="E1" s="6"/>
      <c r="F1" s="6"/>
      <c r="G1" s="6"/>
    </row>
    <row r="2" customFormat="false" ht="15" hidden="false" customHeight="false" outlineLevel="0" collapsed="false">
      <c r="A2" s="7" t="s">
        <v>201</v>
      </c>
      <c r="B2" s="7"/>
      <c r="C2" s="7"/>
      <c r="D2" s="7"/>
      <c r="E2" s="7"/>
      <c r="F2" s="7"/>
      <c r="G2" s="7"/>
    </row>
    <row r="4" customFormat="false" ht="19.5" hidden="false" customHeight="true" outlineLevel="0" collapsed="false">
      <c r="A4" s="4" t="s">
        <v>202</v>
      </c>
      <c r="B4" s="4"/>
      <c r="C4" s="4"/>
      <c r="D4" s="4"/>
      <c r="E4" s="4"/>
      <c r="F4" s="4"/>
      <c r="G4" s="4"/>
      <c r="H4" s="4"/>
    </row>
    <row r="5" customFormat="false" ht="30" hidden="false" customHeight="true" outlineLevel="0" collapsed="false">
      <c r="A5" s="11" t="s">
        <v>203</v>
      </c>
      <c r="B5" s="11" t="s">
        <v>204</v>
      </c>
      <c r="C5" s="11" t="s">
        <v>205</v>
      </c>
      <c r="D5" s="11" t="s">
        <v>206</v>
      </c>
      <c r="E5" s="11" t="s">
        <v>207</v>
      </c>
      <c r="F5" s="11" t="s">
        <v>208</v>
      </c>
      <c r="G5" s="11" t="s">
        <v>209</v>
      </c>
    </row>
    <row r="6" customFormat="false" ht="15" hidden="false" customHeight="false" outlineLevel="0" collapsed="false">
      <c r="A6" s="12" t="s">
        <v>210</v>
      </c>
      <c r="B6" s="24" t="n">
        <v>145000000</v>
      </c>
      <c r="C6" s="9" t="n">
        <v>10</v>
      </c>
      <c r="D6" s="9" t="n">
        <v>9</v>
      </c>
      <c r="E6" s="31" t="n">
        <f aca="false">B6/C6*D6/12</f>
        <v>10875000</v>
      </c>
      <c r="F6" s="31" t="n">
        <f aca="false">B6/C6</f>
        <v>14500000</v>
      </c>
      <c r="G6" s="31" t="n">
        <f aca="false">E6+F6</f>
        <v>25375000</v>
      </c>
      <c r="H6" s="17" t="s">
        <v>211</v>
      </c>
    </row>
    <row r="7" customFormat="false" ht="15" hidden="false" customHeight="false" outlineLevel="0" collapsed="false">
      <c r="A7" s="12" t="s">
        <v>212</v>
      </c>
      <c r="B7" s="24" t="n">
        <v>120000000</v>
      </c>
      <c r="C7" s="9" t="n">
        <v>20</v>
      </c>
      <c r="D7" s="9" t="n">
        <v>5</v>
      </c>
      <c r="E7" s="31" t="n">
        <f aca="false">B7/C7*D7/12</f>
        <v>2500000</v>
      </c>
      <c r="F7" s="31" t="n">
        <f aca="false">B7/C7</f>
        <v>6000000</v>
      </c>
      <c r="G7" s="31" t="n">
        <f aca="false">E7+F7</f>
        <v>8500000</v>
      </c>
      <c r="H7" s="17" t="s">
        <v>213</v>
      </c>
    </row>
    <row r="8" customFormat="false" ht="15" hidden="false" customHeight="false" outlineLevel="0" collapsed="false">
      <c r="A8" s="12" t="s">
        <v>214</v>
      </c>
      <c r="B8" s="24" t="n">
        <v>78000000</v>
      </c>
      <c r="C8" s="9" t="n">
        <v>5</v>
      </c>
      <c r="D8" s="9" t="n">
        <v>10</v>
      </c>
      <c r="E8" s="31" t="n">
        <f aca="false">B8/C8*D8/12</f>
        <v>13000000</v>
      </c>
      <c r="F8" s="31" t="n">
        <f aca="false">B8/C8</f>
        <v>15600000</v>
      </c>
      <c r="G8" s="31" t="n">
        <f aca="false">E8+F8</f>
        <v>28600000</v>
      </c>
      <c r="H8" s="17" t="s">
        <v>215</v>
      </c>
    </row>
    <row r="9" customFormat="false" ht="15" hidden="false" customHeight="false" outlineLevel="0" collapsed="false">
      <c r="A9" s="12" t="s">
        <v>216</v>
      </c>
      <c r="B9" s="24" t="n">
        <v>25000000</v>
      </c>
      <c r="C9" s="9" t="n">
        <v>5</v>
      </c>
      <c r="D9" s="9" t="n">
        <v>8</v>
      </c>
      <c r="E9" s="31" t="n">
        <f aca="false">B9/C9*D9/12</f>
        <v>3333333.33333333</v>
      </c>
      <c r="F9" s="31" t="n">
        <f aca="false">B9/C9</f>
        <v>5000000</v>
      </c>
      <c r="G9" s="31" t="n">
        <f aca="false">E9+F9</f>
        <v>8333333.33333333</v>
      </c>
      <c r="H9" s="17" t="s">
        <v>217</v>
      </c>
    </row>
    <row r="10" customFormat="false" ht="15" hidden="false" customHeight="false" outlineLevel="0" collapsed="false">
      <c r="A10" s="12" t="s">
        <v>218</v>
      </c>
      <c r="B10" s="24" t="n">
        <v>62000000</v>
      </c>
      <c r="C10" s="9" t="n">
        <v>5</v>
      </c>
      <c r="D10" s="9" t="n">
        <v>10</v>
      </c>
      <c r="E10" s="31" t="n">
        <f aca="false">B10/C10*D10/12</f>
        <v>10333333.3333333</v>
      </c>
      <c r="F10" s="31" t="n">
        <f aca="false">B10/C10</f>
        <v>12400000</v>
      </c>
      <c r="G10" s="31" t="n">
        <f aca="false">E10+F10</f>
        <v>22733333.3333333</v>
      </c>
      <c r="H10" s="17" t="s">
        <v>215</v>
      </c>
    </row>
    <row r="11" customFormat="false" ht="15" hidden="false" customHeight="false" outlineLevel="0" collapsed="false">
      <c r="A11" s="12" t="s">
        <v>219</v>
      </c>
      <c r="B11" s="24" t="n">
        <v>18000000</v>
      </c>
      <c r="C11" s="9" t="n">
        <v>5</v>
      </c>
      <c r="D11" s="9" t="n">
        <v>10</v>
      </c>
      <c r="E11" s="31" t="n">
        <f aca="false">B11/C11*D11/12</f>
        <v>3000000</v>
      </c>
      <c r="F11" s="31" t="n">
        <f aca="false">B11/C11</f>
        <v>3600000</v>
      </c>
      <c r="G11" s="31" t="n">
        <f aca="false">E11+F11</f>
        <v>6600000</v>
      </c>
      <c r="H11" s="17" t="s">
        <v>215</v>
      </c>
    </row>
    <row r="12" customFormat="false" ht="15" hidden="false" customHeight="false" outlineLevel="0" collapsed="false">
      <c r="A12" s="15" t="s">
        <v>220</v>
      </c>
      <c r="B12" s="32" t="n">
        <f aca="false">SUM(B6:B11)</f>
        <v>448000000</v>
      </c>
      <c r="C12" s="32"/>
      <c r="D12" s="32"/>
      <c r="E12" s="32" t="n">
        <f aca="false">SUM(E6:E11)</f>
        <v>43041666.6666667</v>
      </c>
      <c r="F12" s="32" t="n">
        <f aca="false">SUM(F6:F11)</f>
        <v>57100000</v>
      </c>
      <c r="G12" s="32" t="n">
        <f aca="false">SUM(G6:G11)</f>
        <v>100141666.666667</v>
      </c>
    </row>
    <row r="14" customFormat="false" ht="19.5" hidden="false" customHeight="true" outlineLevel="0" collapsed="false">
      <c r="A14" s="4" t="s">
        <v>221</v>
      </c>
      <c r="B14" s="4"/>
      <c r="C14" s="4"/>
      <c r="D14" s="4"/>
      <c r="E14" s="4"/>
      <c r="F14" s="4"/>
      <c r="G14" s="4"/>
      <c r="H14" s="4"/>
    </row>
    <row r="15" customFormat="false" ht="30" hidden="false" customHeight="true" outlineLevel="0" collapsed="false">
      <c r="A15" s="11" t="s">
        <v>203</v>
      </c>
      <c r="B15" s="11" t="s">
        <v>204</v>
      </c>
      <c r="C15" s="11" t="s">
        <v>205</v>
      </c>
      <c r="D15" s="11" t="s">
        <v>222</v>
      </c>
      <c r="E15" s="11" t="s">
        <v>207</v>
      </c>
      <c r="F15" s="11" t="s">
        <v>208</v>
      </c>
      <c r="G15" s="11" t="s">
        <v>209</v>
      </c>
    </row>
    <row r="16" customFormat="false" ht="15" hidden="false" customHeight="false" outlineLevel="0" collapsed="false">
      <c r="A16" s="12" t="s">
        <v>223</v>
      </c>
      <c r="B16" s="24" t="n">
        <v>385000000</v>
      </c>
      <c r="C16" s="9" t="n">
        <v>8</v>
      </c>
      <c r="D16" s="9" t="n">
        <v>11</v>
      </c>
      <c r="E16" s="31" t="n">
        <v>0</v>
      </c>
      <c r="F16" s="31" t="n">
        <f aca="false">B16/C16*D16/12</f>
        <v>44114583.3333333</v>
      </c>
      <c r="G16" s="31" t="n">
        <f aca="false">E16+F16</f>
        <v>44114583.3333333</v>
      </c>
      <c r="H16" s="17" t="s">
        <v>224</v>
      </c>
    </row>
    <row r="17" customFormat="false" ht="15" hidden="false" customHeight="false" outlineLevel="0" collapsed="false">
      <c r="A17" s="12" t="s">
        <v>225</v>
      </c>
      <c r="B17" s="24" t="n">
        <v>178000000</v>
      </c>
      <c r="C17" s="9" t="n">
        <v>7</v>
      </c>
      <c r="D17" s="9" t="n">
        <v>10</v>
      </c>
      <c r="E17" s="31" t="n">
        <v>0</v>
      </c>
      <c r="F17" s="31" t="n">
        <f aca="false">B17/C17*D17/12</f>
        <v>21190476.1904762</v>
      </c>
      <c r="G17" s="31" t="n">
        <f aca="false">E17+F17</f>
        <v>21190476.1904762</v>
      </c>
      <c r="H17" s="17" t="s">
        <v>226</v>
      </c>
    </row>
    <row r="18" customFormat="false" ht="15" hidden="false" customHeight="false" outlineLevel="0" collapsed="false">
      <c r="A18" s="12" t="s">
        <v>227</v>
      </c>
      <c r="B18" s="24" t="n">
        <v>95000000</v>
      </c>
      <c r="C18" s="9" t="n">
        <v>20</v>
      </c>
      <c r="D18" s="9" t="n">
        <v>7</v>
      </c>
      <c r="E18" s="31" t="n">
        <v>0</v>
      </c>
      <c r="F18" s="31" t="n">
        <f aca="false">B18/C18*D18/12</f>
        <v>2770833.33333333</v>
      </c>
      <c r="G18" s="31" t="n">
        <f aca="false">E18+F18</f>
        <v>2770833.33333333</v>
      </c>
      <c r="H18" s="17" t="s">
        <v>228</v>
      </c>
    </row>
    <row r="19" customFormat="false" ht="15" hidden="false" customHeight="false" outlineLevel="0" collapsed="false">
      <c r="A19" s="12" t="s">
        <v>229</v>
      </c>
      <c r="B19" s="24" t="n">
        <v>68000000</v>
      </c>
      <c r="C19" s="9" t="n">
        <v>10</v>
      </c>
      <c r="D19" s="9" t="n">
        <v>9</v>
      </c>
      <c r="E19" s="31" t="n">
        <v>0</v>
      </c>
      <c r="F19" s="31" t="n">
        <f aca="false">B19/C19*D19/12</f>
        <v>5100000</v>
      </c>
      <c r="G19" s="31" t="n">
        <f aca="false">E19+F19</f>
        <v>5100000</v>
      </c>
      <c r="H19" s="17" t="s">
        <v>230</v>
      </c>
    </row>
    <row r="20" customFormat="false" ht="15" hidden="false" customHeight="false" outlineLevel="0" collapsed="false">
      <c r="A20" s="12" t="s">
        <v>231</v>
      </c>
      <c r="B20" s="24" t="n">
        <v>32000000</v>
      </c>
      <c r="C20" s="9" t="n">
        <v>5</v>
      </c>
      <c r="D20" s="9" t="n">
        <v>8</v>
      </c>
      <c r="E20" s="31" t="n">
        <v>0</v>
      </c>
      <c r="F20" s="31" t="n">
        <f aca="false">B20/C20*D20/12</f>
        <v>4266666.66666667</v>
      </c>
      <c r="G20" s="31" t="n">
        <f aca="false">E20+F20</f>
        <v>4266666.66666667</v>
      </c>
      <c r="H20" s="17" t="s">
        <v>232</v>
      </c>
    </row>
    <row r="21" customFormat="false" ht="15" hidden="false" customHeight="false" outlineLevel="0" collapsed="false">
      <c r="A21" s="15" t="s">
        <v>233</v>
      </c>
      <c r="B21" s="32" t="n">
        <f aca="false">SUM(B16:B20)</f>
        <v>758000000</v>
      </c>
      <c r="C21" s="32"/>
      <c r="D21" s="32"/>
      <c r="E21" s="32" t="n">
        <f aca="false">SUM(E16:E20)</f>
        <v>0</v>
      </c>
      <c r="F21" s="32" t="n">
        <f aca="false">SUM(F16:F20)</f>
        <v>77442559.5238095</v>
      </c>
      <c r="G21" s="32" t="n">
        <f aca="false">SUM(G16:G20)</f>
        <v>77442559.5238095</v>
      </c>
    </row>
    <row r="23" customFormat="false" ht="19.5" hidden="false" customHeight="true" outlineLevel="0" collapsed="false">
      <c r="A23" s="4" t="s">
        <v>234</v>
      </c>
      <c r="B23" s="4"/>
      <c r="C23" s="4"/>
      <c r="D23" s="4"/>
      <c r="E23" s="4"/>
      <c r="F23" s="4"/>
      <c r="G23" s="4"/>
      <c r="H23" s="4"/>
    </row>
    <row r="24" customFormat="false" ht="30" hidden="false" customHeight="true" outlineLevel="0" collapsed="false">
      <c r="A24" s="11" t="s">
        <v>162</v>
      </c>
      <c r="B24" s="11" t="s">
        <v>235</v>
      </c>
      <c r="C24" s="11" t="s">
        <v>236</v>
      </c>
      <c r="D24" s="11"/>
      <c r="E24" s="11"/>
      <c r="F24" s="11"/>
      <c r="G24" s="11"/>
    </row>
    <row r="25" customFormat="false" ht="15" hidden="false" customHeight="false" outlineLevel="0" collapsed="false">
      <c r="A25" s="12" t="s">
        <v>237</v>
      </c>
      <c r="B25" s="31" t="n">
        <f aca="false">B12</f>
        <v>448000000</v>
      </c>
      <c r="C25" s="31" t="n">
        <f aca="false">B12+B21</f>
        <v>1206000000</v>
      </c>
    </row>
    <row r="26" customFormat="false" ht="15" hidden="false" customHeight="false" outlineLevel="0" collapsed="false">
      <c r="A26" s="12" t="s">
        <v>238</v>
      </c>
      <c r="B26" s="31" t="n">
        <f aca="false">E12+E21</f>
        <v>43041666.6666667</v>
      </c>
      <c r="C26" s="31" t="n">
        <f aca="false">F12+F21</f>
        <v>134542559.52381</v>
      </c>
    </row>
    <row r="27" customFormat="false" ht="15" hidden="false" customHeight="false" outlineLevel="0" collapsed="false">
      <c r="A27" s="12" t="s">
        <v>239</v>
      </c>
      <c r="B27" s="31" t="n">
        <f aca="false">B26</f>
        <v>43041666.6666667</v>
      </c>
      <c r="C27" s="31" t="n">
        <f aca="false">B26+C26</f>
        <v>177584226.190476</v>
      </c>
    </row>
    <row r="28" customFormat="false" ht="15" hidden="false" customHeight="false" outlineLevel="0" collapsed="false">
      <c r="A28" s="15" t="s">
        <v>240</v>
      </c>
      <c r="B28" s="32" t="n">
        <f aca="false">B25-B27</f>
        <v>404958333.333333</v>
      </c>
      <c r="C28" s="32" t="n">
        <f aca="false">C25-C27</f>
        <v>1028415773.80952</v>
      </c>
    </row>
    <row r="30" customFormat="false" ht="15" hidden="false" customHeight="false" outlineLevel="0" collapsed="false">
      <c r="A30" s="34" t="s">
        <v>241</v>
      </c>
      <c r="B30" s="34"/>
      <c r="C30" s="34"/>
      <c r="D30" s="34"/>
      <c r="E30" s="34"/>
      <c r="F30" s="34"/>
      <c r="G30" s="34"/>
    </row>
  </sheetData>
  <mergeCells count="3">
    <mergeCell ref="A1:G1"/>
    <mergeCell ref="A2:G2"/>
    <mergeCell ref="A30:G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2"/>
    <col collapsed="false" customWidth="true" hidden="false" outlineLevel="0" max="4" min="2" style="0" width="19"/>
    <col collapsed="false" customWidth="true" hidden="false" outlineLevel="0" max="5" min="5" style="0" width="48"/>
  </cols>
  <sheetData>
    <row r="1" customFormat="false" ht="24" hidden="false" customHeight="true" outlineLevel="0" collapsed="false">
      <c r="A1" s="6" t="s">
        <v>242</v>
      </c>
      <c r="B1" s="6"/>
      <c r="C1" s="6"/>
      <c r="D1" s="6"/>
      <c r="E1" s="6"/>
    </row>
    <row r="2" customFormat="false" ht="15" hidden="false" customHeight="false" outlineLevel="0" collapsed="false">
      <c r="A2" s="7" t="s">
        <v>243</v>
      </c>
      <c r="B2" s="7"/>
      <c r="C2" s="7"/>
      <c r="D2" s="7"/>
      <c r="E2" s="7"/>
    </row>
    <row r="4" customFormat="false" ht="19.5" hidden="false" customHeight="true" outlineLevel="0" collapsed="false">
      <c r="A4" s="4" t="s">
        <v>244</v>
      </c>
      <c r="B4" s="4"/>
      <c r="C4" s="4"/>
      <c r="D4" s="4"/>
      <c r="E4" s="4"/>
    </row>
    <row r="5" customFormat="false" ht="30" hidden="false" customHeight="true" outlineLevel="0" collapsed="false">
      <c r="A5" s="11" t="s">
        <v>245</v>
      </c>
      <c r="B5" s="11" t="s">
        <v>78</v>
      </c>
      <c r="C5" s="11" t="s">
        <v>79</v>
      </c>
      <c r="D5" s="11" t="s">
        <v>80</v>
      </c>
      <c r="E5" s="11" t="s">
        <v>107</v>
      </c>
    </row>
    <row r="6" customFormat="false" ht="15" hidden="false" customHeight="false" outlineLevel="0" collapsed="false">
      <c r="A6" s="12" t="s">
        <v>246</v>
      </c>
      <c r="B6" s="24" t="n">
        <v>53800000</v>
      </c>
      <c r="C6" s="24" t="n">
        <v>61460000</v>
      </c>
      <c r="D6" s="19" t="n">
        <f aca="false">IF(B6=0,"n.a.",C6/B6-1)</f>
        <v>0.142379182156134</v>
      </c>
      <c r="E6" s="14" t="s">
        <v>247</v>
      </c>
    </row>
    <row r="7" customFormat="false" ht="15" hidden="false" customHeight="false" outlineLevel="0" collapsed="false">
      <c r="A7" s="12" t="s">
        <v>248</v>
      </c>
      <c r="B7" s="24" t="n">
        <v>106200000</v>
      </c>
      <c r="C7" s="24" t="n">
        <v>131200000</v>
      </c>
      <c r="D7" s="19" t="n">
        <f aca="false">IF(B7=0,"n.a.",C7/B7-1)</f>
        <v>0.235404896421846</v>
      </c>
      <c r="E7" s="14" t="s">
        <v>249</v>
      </c>
    </row>
    <row r="8" customFormat="false" ht="15" hidden="false" customHeight="false" outlineLevel="0" collapsed="false">
      <c r="A8" s="12" t="s">
        <v>250</v>
      </c>
      <c r="B8" s="24" t="n">
        <v>0</v>
      </c>
      <c r="C8" s="24" t="n">
        <v>18000000</v>
      </c>
      <c r="D8" s="19" t="str">
        <f aca="false">IF(B8=0,"n.a.",C8/B8-1)</f>
        <v>n.a.</v>
      </c>
      <c r="E8" s="14" t="s">
        <v>251</v>
      </c>
    </row>
    <row r="9" customFormat="false" ht="15" hidden="false" customHeight="false" outlineLevel="0" collapsed="false">
      <c r="A9" s="12" t="s">
        <v>252</v>
      </c>
      <c r="B9" s="31" t="n">
        <f aca="false">Hypotheses!B19*420000</f>
        <v>23100000</v>
      </c>
      <c r="C9" s="31" t="n">
        <f aca="false">Hypotheses!C19*450000</f>
        <v>26100000</v>
      </c>
      <c r="D9" s="19" t="n">
        <f aca="false">IF(B9=0,"n.a.",C9/B9-1)</f>
        <v>0.12987012987013</v>
      </c>
      <c r="E9" s="14" t="s">
        <v>253</v>
      </c>
    </row>
    <row r="10" customFormat="false" ht="15" hidden="false" customHeight="false" outlineLevel="0" collapsed="false">
      <c r="A10" s="12" t="s">
        <v>254</v>
      </c>
      <c r="B10" s="24" t="n">
        <v>21000000</v>
      </c>
      <c r="C10" s="24" t="n">
        <v>32000000</v>
      </c>
      <c r="D10" s="19" t="n">
        <f aca="false">IF(B10=0,"n.a.",C10/B10-1)</f>
        <v>0.523809523809524</v>
      </c>
      <c r="E10" s="14" t="s">
        <v>255</v>
      </c>
    </row>
    <row r="11" customFormat="false" ht="15" hidden="false" customHeight="false" outlineLevel="0" collapsed="false">
      <c r="A11" s="12" t="s">
        <v>256</v>
      </c>
      <c r="B11" s="24" t="n">
        <v>34000000</v>
      </c>
      <c r="C11" s="24" t="n">
        <v>96000000</v>
      </c>
      <c r="D11" s="19" t="n">
        <f aca="false">IF(B11=0,"n.a.",C11/B11-1)</f>
        <v>1.82352941176471</v>
      </c>
      <c r="E11" s="14" t="s">
        <v>257</v>
      </c>
    </row>
    <row r="12" customFormat="false" ht="15" hidden="false" customHeight="false" outlineLevel="0" collapsed="false">
      <c r="A12" s="12" t="s">
        <v>258</v>
      </c>
      <c r="B12" s="24" t="n">
        <v>16000000</v>
      </c>
      <c r="C12" s="24" t="n">
        <v>38000000</v>
      </c>
      <c r="D12" s="19" t="n">
        <f aca="false">IF(B12=0,"n.a.",C12/B12-1)</f>
        <v>1.375</v>
      </c>
      <c r="E12" s="14" t="s">
        <v>259</v>
      </c>
    </row>
    <row r="13" customFormat="false" ht="15" hidden="false" customHeight="false" outlineLevel="0" collapsed="false">
      <c r="A13" s="15" t="s">
        <v>260</v>
      </c>
      <c r="B13" s="32" t="n">
        <f aca="false">SUM(B6:B12)</f>
        <v>254100000</v>
      </c>
      <c r="C13" s="32" t="n">
        <f aca="false">SUM(C6:C12)</f>
        <v>402760000</v>
      </c>
    </row>
    <row r="15" customFormat="false" ht="19.5" hidden="false" customHeight="true" outlineLevel="0" collapsed="false">
      <c r="A15" s="4" t="s">
        <v>261</v>
      </c>
      <c r="B15" s="4"/>
      <c r="C15" s="4"/>
      <c r="D15" s="4"/>
      <c r="E15" s="4"/>
    </row>
    <row r="16" customFormat="false" ht="30" hidden="false" customHeight="true" outlineLevel="0" collapsed="false">
      <c r="A16" s="11" t="s">
        <v>245</v>
      </c>
      <c r="B16" s="11" t="s">
        <v>78</v>
      </c>
      <c r="C16" s="11" t="s">
        <v>79</v>
      </c>
      <c r="D16" s="11" t="s">
        <v>80</v>
      </c>
      <c r="E16" s="11" t="s">
        <v>107</v>
      </c>
    </row>
    <row r="17" customFormat="false" ht="15" hidden="false" customHeight="false" outlineLevel="0" collapsed="false">
      <c r="A17" s="12" t="s">
        <v>262</v>
      </c>
      <c r="B17" s="24" t="n">
        <v>48000000</v>
      </c>
      <c r="C17" s="24" t="n">
        <v>14000000</v>
      </c>
      <c r="D17" s="19" t="n">
        <f aca="false">IF(B17=0,"n.a.",C17/B17-1)</f>
        <v>-0.708333333333333</v>
      </c>
      <c r="E17" s="14" t="s">
        <v>263</v>
      </c>
    </row>
    <row r="18" customFormat="false" ht="15" hidden="false" customHeight="false" outlineLevel="0" collapsed="false">
      <c r="A18" s="12" t="s">
        <v>264</v>
      </c>
      <c r="B18" s="31" t="n">
        <f aca="false">Production!B16*700000</f>
        <v>19819800</v>
      </c>
      <c r="C18" s="31" t="n">
        <v>0</v>
      </c>
      <c r="D18" s="19" t="n">
        <f aca="false">IF(B18=0,"n.a.",C18/B18-1)</f>
        <v>-1</v>
      </c>
      <c r="E18" s="14" t="s">
        <v>265</v>
      </c>
    </row>
    <row r="19" customFormat="false" ht="15" hidden="false" customHeight="false" outlineLevel="0" collapsed="false">
      <c r="A19" s="12" t="s">
        <v>266</v>
      </c>
      <c r="B19" s="31" t="n">
        <f aca="false">Production!B26*350000</f>
        <v>12757500</v>
      </c>
      <c r="C19" s="31" t="n">
        <v>0</v>
      </c>
      <c r="D19" s="19" t="n">
        <f aca="false">IF(B19=0,"n.a.",C19/B19-1)</f>
        <v>-1</v>
      </c>
      <c r="E19" s="14" t="s">
        <v>267</v>
      </c>
    </row>
    <row r="20" customFormat="false" ht="15" hidden="false" customHeight="false" outlineLevel="0" collapsed="false">
      <c r="A20" s="12" t="s">
        <v>268</v>
      </c>
      <c r="B20" s="24" t="n">
        <v>46000000</v>
      </c>
      <c r="C20" s="24" t="n">
        <v>58000000</v>
      </c>
      <c r="D20" s="19" t="n">
        <f aca="false">IF(B20=0,"n.a.",C20/B20-1)</f>
        <v>0.260869565217391</v>
      </c>
      <c r="E20" s="14" t="s">
        <v>269</v>
      </c>
    </row>
    <row r="21" customFormat="false" ht="15" hidden="false" customHeight="false" outlineLevel="0" collapsed="false">
      <c r="A21" s="12" t="s">
        <v>270</v>
      </c>
      <c r="B21" s="24" t="n">
        <v>8000000</v>
      </c>
      <c r="C21" s="24" t="n">
        <v>6000000</v>
      </c>
      <c r="D21" s="19" t="n">
        <f aca="false">IF(B21=0,"n.a.",C21/B21-1)</f>
        <v>-0.25</v>
      </c>
      <c r="E21" s="14"/>
    </row>
    <row r="22" customFormat="false" ht="15" hidden="false" customHeight="false" outlineLevel="0" collapsed="false">
      <c r="A22" s="12" t="s">
        <v>271</v>
      </c>
      <c r="B22" s="24" t="n">
        <v>6000000</v>
      </c>
      <c r="C22" s="24" t="n">
        <v>18000000</v>
      </c>
      <c r="D22" s="19" t="n">
        <f aca="false">IF(B22=0,"n.a.",C22/B22-1)</f>
        <v>2</v>
      </c>
      <c r="E22" s="14" t="s">
        <v>272</v>
      </c>
    </row>
    <row r="23" customFormat="false" ht="15" hidden="false" customHeight="false" outlineLevel="0" collapsed="false">
      <c r="A23" s="12" t="s">
        <v>273</v>
      </c>
      <c r="B23" s="24" t="n">
        <v>10000000</v>
      </c>
      <c r="C23" s="24" t="n">
        <v>16000000</v>
      </c>
      <c r="D23" s="19" t="n">
        <f aca="false">IF(B23=0,"n.a.",C23/B23-1)</f>
        <v>0.6</v>
      </c>
      <c r="E23" s="14" t="s">
        <v>274</v>
      </c>
    </row>
    <row r="24" customFormat="false" ht="15" hidden="false" customHeight="false" outlineLevel="0" collapsed="false">
      <c r="A24" s="12" t="s">
        <v>275</v>
      </c>
      <c r="B24" s="24" t="n">
        <v>12000000</v>
      </c>
      <c r="C24" s="24" t="n">
        <v>22000000</v>
      </c>
      <c r="D24" s="19" t="n">
        <f aca="false">IF(B24=0,"n.a.",C24/B24-1)</f>
        <v>0.833333333333333</v>
      </c>
      <c r="E24" s="14"/>
    </row>
    <row r="25" customFormat="false" ht="15" hidden="false" customHeight="false" outlineLevel="0" collapsed="false">
      <c r="A25" s="12" t="s">
        <v>276</v>
      </c>
      <c r="B25" s="24" t="n">
        <v>0</v>
      </c>
      <c r="C25" s="24" t="n">
        <v>12000000</v>
      </c>
      <c r="D25" s="19" t="str">
        <f aca="false">IF(B25=0,"n.a.",C25/B25-1)</f>
        <v>n.a.</v>
      </c>
      <c r="E25" s="14" t="s">
        <v>277</v>
      </c>
    </row>
    <row r="26" customFormat="false" ht="15" hidden="false" customHeight="false" outlineLevel="0" collapsed="false">
      <c r="A26" s="15" t="s">
        <v>278</v>
      </c>
      <c r="B26" s="32" t="n">
        <f aca="false">SUM(B17:B25)</f>
        <v>162577300</v>
      </c>
      <c r="C26" s="32" t="n">
        <f aca="false">SUM(C17:C25)</f>
        <v>146000000</v>
      </c>
    </row>
    <row r="28" customFormat="false" ht="19.5" hidden="false" customHeight="true" outlineLevel="0" collapsed="false">
      <c r="A28" s="4" t="s">
        <v>279</v>
      </c>
      <c r="B28" s="4"/>
      <c r="C28" s="4"/>
      <c r="D28" s="4"/>
      <c r="E28" s="4"/>
    </row>
    <row r="29" customFormat="false" ht="30" hidden="false" customHeight="true" outlineLevel="0" collapsed="false">
      <c r="A29" s="11" t="s">
        <v>245</v>
      </c>
      <c r="B29" s="11" t="s">
        <v>78</v>
      </c>
      <c r="C29" s="11" t="s">
        <v>79</v>
      </c>
      <c r="D29" s="11" t="s">
        <v>80</v>
      </c>
      <c r="E29" s="11" t="s">
        <v>107</v>
      </c>
    </row>
    <row r="30" customFormat="false" ht="15" hidden="false" customHeight="false" outlineLevel="0" collapsed="false">
      <c r="A30" s="12" t="s">
        <v>280</v>
      </c>
      <c r="B30" s="24" t="n">
        <v>4500000</v>
      </c>
      <c r="C30" s="24" t="n">
        <v>12000000</v>
      </c>
      <c r="D30" s="19" t="n">
        <f aca="false">IF(B30=0,"n.a.",C30/B30-1)</f>
        <v>1.66666666666667</v>
      </c>
      <c r="E30" s="14" t="s">
        <v>281</v>
      </c>
    </row>
    <row r="31" customFormat="false" ht="15" hidden="false" customHeight="false" outlineLevel="0" collapsed="false">
      <c r="A31" s="12" t="s">
        <v>282</v>
      </c>
      <c r="B31" s="24" t="n">
        <v>9500000</v>
      </c>
      <c r="C31" s="24" t="n">
        <v>10000000</v>
      </c>
      <c r="D31" s="19" t="n">
        <f aca="false">IF(B31=0,"n.a.",C31/B31-1)</f>
        <v>0.0526315789473684</v>
      </c>
      <c r="E31" s="14" t="s">
        <v>283</v>
      </c>
    </row>
    <row r="32" customFormat="false" ht="15" hidden="false" customHeight="false" outlineLevel="0" collapsed="false">
      <c r="A32" s="15" t="s">
        <v>284</v>
      </c>
      <c r="B32" s="32" t="n">
        <f aca="false">SUM(B30:B31)</f>
        <v>14000000</v>
      </c>
      <c r="C32" s="32" t="n">
        <f aca="false">SUM(C30:C31)</f>
        <v>22000000</v>
      </c>
    </row>
    <row r="34" customFormat="false" ht="19.5" hidden="false" customHeight="true" outlineLevel="0" collapsed="false">
      <c r="A34" s="4" t="s">
        <v>285</v>
      </c>
      <c r="B34" s="4"/>
      <c r="C34" s="4"/>
      <c r="D34" s="4"/>
      <c r="E34" s="4"/>
    </row>
    <row r="35" customFormat="false" ht="30" hidden="false" customHeight="true" outlineLevel="0" collapsed="false">
      <c r="A35" s="11" t="s">
        <v>245</v>
      </c>
      <c r="B35" s="11" t="s">
        <v>78</v>
      </c>
      <c r="C35" s="11" t="s">
        <v>79</v>
      </c>
      <c r="D35" s="11" t="s">
        <v>80</v>
      </c>
      <c r="E35" s="11" t="s">
        <v>107</v>
      </c>
    </row>
    <row r="36" customFormat="false" ht="15" hidden="false" customHeight="false" outlineLevel="0" collapsed="false">
      <c r="A36" s="12" t="s">
        <v>286</v>
      </c>
      <c r="B36" s="24" t="n">
        <v>36000000</v>
      </c>
      <c r="C36" s="24" t="n">
        <v>43200000</v>
      </c>
      <c r="D36" s="19" t="n">
        <f aca="false">IF(B36=0,"n.a.",C36/B36-1)</f>
        <v>0.2</v>
      </c>
      <c r="E36" s="14" t="s">
        <v>287</v>
      </c>
    </row>
    <row r="37" customFormat="false" ht="15" hidden="false" customHeight="false" outlineLevel="0" collapsed="false">
      <c r="A37" s="12" t="s">
        <v>288</v>
      </c>
      <c r="B37" s="24" t="n">
        <v>40800000</v>
      </c>
      <c r="C37" s="24" t="n">
        <v>68400000</v>
      </c>
      <c r="D37" s="19" t="n">
        <f aca="false">IF(B37=0,"n.a.",C37/B37-1)</f>
        <v>0.676470588235294</v>
      </c>
      <c r="E37" s="14" t="s">
        <v>289</v>
      </c>
    </row>
    <row r="38" customFormat="false" ht="15" hidden="false" customHeight="false" outlineLevel="0" collapsed="false">
      <c r="A38" s="12" t="s">
        <v>290</v>
      </c>
      <c r="B38" s="24" t="n">
        <v>0</v>
      </c>
      <c r="C38" s="24" t="n">
        <v>26400000</v>
      </c>
      <c r="D38" s="19" t="str">
        <f aca="false">IF(B38=0,"n.a.",C38/B38-1)</f>
        <v>n.a.</v>
      </c>
      <c r="E38" s="14" t="s">
        <v>291</v>
      </c>
    </row>
    <row r="39" customFormat="false" ht="15" hidden="false" customHeight="false" outlineLevel="0" collapsed="false">
      <c r="A39" s="12" t="s">
        <v>292</v>
      </c>
      <c r="B39" s="24" t="n">
        <v>52800000</v>
      </c>
      <c r="C39" s="24" t="n">
        <v>97200000</v>
      </c>
      <c r="D39" s="19" t="n">
        <f aca="false">IF(B39=0,"n.a.",C39/B39-1)</f>
        <v>0.840909090909091</v>
      </c>
      <c r="E39" s="14" t="s">
        <v>293</v>
      </c>
    </row>
    <row r="40" customFormat="false" ht="15" hidden="false" customHeight="false" outlineLevel="0" collapsed="false">
      <c r="A40" s="12" t="s">
        <v>294</v>
      </c>
      <c r="B40" s="24" t="n">
        <v>24000000</v>
      </c>
      <c r="C40" s="24" t="n">
        <v>26400000</v>
      </c>
      <c r="D40" s="19" t="n">
        <f aca="false">IF(B40=0,"n.a.",C40/B40-1)</f>
        <v>0.1</v>
      </c>
      <c r="E40" s="14" t="s">
        <v>295</v>
      </c>
    </row>
    <row r="41" customFormat="false" ht="15" hidden="false" customHeight="false" outlineLevel="0" collapsed="false">
      <c r="A41" s="8" t="s">
        <v>296</v>
      </c>
      <c r="B41" s="35" t="n">
        <f aca="false">SUM(B36:B40)</f>
        <v>153600000</v>
      </c>
      <c r="C41" s="35" t="n">
        <f aca="false">SUM(C36:C40)</f>
        <v>261600000</v>
      </c>
    </row>
    <row r="42" customFormat="false" ht="15" hidden="false" customHeight="false" outlineLevel="0" collapsed="false">
      <c r="A42" s="12" t="s">
        <v>297</v>
      </c>
      <c r="B42" s="31" t="n">
        <f aca="false">B41*Hypotheses!B52</f>
        <v>27648000</v>
      </c>
      <c r="C42" s="31" t="n">
        <f aca="false">C41*Hypotheses!C52</f>
        <v>47088000</v>
      </c>
      <c r="E42" s="17" t="s">
        <v>298</v>
      </c>
    </row>
    <row r="43" customFormat="false" ht="15" hidden="false" customHeight="false" outlineLevel="0" collapsed="false">
      <c r="A43" s="12" t="s">
        <v>299</v>
      </c>
      <c r="B43" s="31" t="n">
        <f aca="false">Hypotheses!B54*Hypotheses!B53</f>
        <v>84000000</v>
      </c>
      <c r="C43" s="31" t="n">
        <f aca="false">Hypotheses!C54*Hypotheses!C53</f>
        <v>102400000</v>
      </c>
      <c r="E43" s="17" t="s">
        <v>300</v>
      </c>
    </row>
    <row r="44" customFormat="false" ht="15" hidden="false" customHeight="false" outlineLevel="0" collapsed="false">
      <c r="A44" s="15" t="s">
        <v>301</v>
      </c>
      <c r="B44" s="32" t="n">
        <f aca="false">B41+B42+B43</f>
        <v>265248000</v>
      </c>
      <c r="C44" s="32" t="n">
        <f aca="false">C41+C42+C43</f>
        <v>411088000</v>
      </c>
    </row>
    <row r="46" customFormat="false" ht="19.5" hidden="false" customHeight="true" outlineLevel="0" collapsed="false">
      <c r="A46" s="4" t="s">
        <v>302</v>
      </c>
      <c r="B46" s="4"/>
      <c r="C46" s="4"/>
      <c r="D46" s="4"/>
      <c r="E46" s="4"/>
    </row>
    <row r="47" customFormat="false" ht="30" hidden="false" customHeight="true" outlineLevel="0" collapsed="false">
      <c r="A47" s="11" t="s">
        <v>245</v>
      </c>
      <c r="B47" s="11" t="s">
        <v>78</v>
      </c>
      <c r="C47" s="11" t="s">
        <v>79</v>
      </c>
      <c r="D47" s="11" t="s">
        <v>80</v>
      </c>
      <c r="E47" s="11" t="s">
        <v>107</v>
      </c>
    </row>
    <row r="48" customFormat="false" ht="15" hidden="false" customHeight="false" outlineLevel="0" collapsed="false">
      <c r="A48" s="12" t="s">
        <v>303</v>
      </c>
      <c r="B48" s="31" t="n">
        <f aca="false">250000000*Hypotheses!B50*10/12</f>
        <v>29166666.6666667</v>
      </c>
      <c r="C48" s="31" t="n">
        <f aca="false">208000000*Hypotheses!C50</f>
        <v>29120000</v>
      </c>
      <c r="D48" s="19" t="n">
        <f aca="false">IF(B48=0,"n.a.",C48/B48-1)</f>
        <v>-0.00159999999999993</v>
      </c>
      <c r="E48" s="14" t="s">
        <v>304</v>
      </c>
    </row>
    <row r="49" customFormat="false" ht="15" hidden="false" customHeight="false" outlineLevel="0" collapsed="false">
      <c r="A49" s="12" t="s">
        <v>305</v>
      </c>
      <c r="B49" s="31" t="n">
        <v>0</v>
      </c>
      <c r="C49" s="31" t="n">
        <f aca="false">450000000*Hypotheses!C51*11/12</f>
        <v>53625000</v>
      </c>
      <c r="D49" s="19" t="str">
        <f aca="false">IF(B49=0,"n.a.",C49/B49-1)</f>
        <v>n.a.</v>
      </c>
      <c r="E49" s="14" t="s">
        <v>306</v>
      </c>
    </row>
    <row r="50" customFormat="false" ht="15" hidden="false" customHeight="false" outlineLevel="0" collapsed="false">
      <c r="A50" s="15" t="s">
        <v>307</v>
      </c>
      <c r="B50" s="32" t="n">
        <f aca="false">SUM(B48:B49)</f>
        <v>29166666.6666667</v>
      </c>
      <c r="C50" s="32" t="n">
        <f aca="false">SUM(C48:C49)</f>
        <v>82745000</v>
      </c>
    </row>
    <row r="52" customFormat="false" ht="19.5" hidden="false" customHeight="true" outlineLevel="0" collapsed="false">
      <c r="A52" s="4" t="s">
        <v>308</v>
      </c>
      <c r="B52" s="4"/>
      <c r="C52" s="4"/>
      <c r="D52" s="4"/>
      <c r="E52" s="4"/>
    </row>
    <row r="53" customFormat="false" ht="30" hidden="false" customHeight="true" outlineLevel="0" collapsed="false">
      <c r="A53" s="11" t="s">
        <v>245</v>
      </c>
      <c r="B53" s="11" t="s">
        <v>78</v>
      </c>
      <c r="C53" s="11" t="s">
        <v>79</v>
      </c>
      <c r="D53" s="11" t="s">
        <v>80</v>
      </c>
      <c r="E53" s="11" t="s">
        <v>107</v>
      </c>
    </row>
    <row r="54" customFormat="false" ht="15" hidden="false" customHeight="false" outlineLevel="0" collapsed="false">
      <c r="A54" s="12" t="s">
        <v>309</v>
      </c>
      <c r="B54" s="36" t="n">
        <f aca="false">Immobilisations!B26</f>
        <v>43041666.6666667</v>
      </c>
      <c r="C54" s="36" t="n">
        <f aca="false">Immobilisations!C26</f>
        <v>134542559.52381</v>
      </c>
      <c r="D54" s="37" t="n">
        <f aca="false">C54/B54-1</f>
        <v>2.12586779145347</v>
      </c>
      <c r="E54" s="14" t="s">
        <v>310</v>
      </c>
    </row>
    <row r="56" customFormat="false" ht="19.5" hidden="false" customHeight="true" outlineLevel="0" collapsed="false">
      <c r="A56" s="4" t="s">
        <v>311</v>
      </c>
      <c r="B56" s="4"/>
      <c r="C56" s="4"/>
      <c r="D56" s="4"/>
      <c r="E56" s="4"/>
    </row>
    <row r="57" customFormat="false" ht="30" hidden="false" customHeight="true" outlineLevel="0" collapsed="false">
      <c r="A57" s="11" t="s">
        <v>312</v>
      </c>
      <c r="B57" s="11" t="s">
        <v>78</v>
      </c>
      <c r="C57" s="11" t="s">
        <v>79</v>
      </c>
      <c r="D57" s="11" t="s">
        <v>80</v>
      </c>
      <c r="E57" s="11" t="s">
        <v>313</v>
      </c>
    </row>
    <row r="58" customFormat="false" ht="15" hidden="false" customHeight="false" outlineLevel="0" collapsed="false">
      <c r="A58" s="12" t="s">
        <v>314</v>
      </c>
      <c r="B58" s="31" t="n">
        <f aca="false">B13</f>
        <v>254100000</v>
      </c>
      <c r="C58" s="31" t="n">
        <f aca="false">C13</f>
        <v>402760000</v>
      </c>
      <c r="D58" s="19" t="n">
        <f aca="false">C58/B58-1</f>
        <v>0.585045257772531</v>
      </c>
      <c r="E58" s="19" t="n">
        <f aca="false">C58/C$64</f>
        <v>0.335875286827405</v>
      </c>
    </row>
    <row r="59" customFormat="false" ht="15" hidden="false" customHeight="false" outlineLevel="0" collapsed="false">
      <c r="A59" s="12" t="s">
        <v>315</v>
      </c>
      <c r="B59" s="31" t="n">
        <f aca="false">B26</f>
        <v>162577300</v>
      </c>
      <c r="C59" s="31" t="n">
        <f aca="false">C26</f>
        <v>146000000</v>
      </c>
      <c r="D59" s="19" t="n">
        <f aca="false">C59/B59-1</f>
        <v>-0.101965649571004</v>
      </c>
      <c r="E59" s="19" t="n">
        <f aca="false">C59/C$64</f>
        <v>0.121754374507898</v>
      </c>
    </row>
    <row r="60" customFormat="false" ht="15" hidden="false" customHeight="false" outlineLevel="0" collapsed="false">
      <c r="A60" s="12" t="s">
        <v>316</v>
      </c>
      <c r="B60" s="31" t="n">
        <f aca="false">B32</f>
        <v>14000000</v>
      </c>
      <c r="C60" s="31" t="n">
        <f aca="false">C32</f>
        <v>22000000</v>
      </c>
      <c r="D60" s="19" t="n">
        <f aca="false">C60/B60-1</f>
        <v>0.571428571428571</v>
      </c>
      <c r="E60" s="19" t="n">
        <f aca="false">C60/C$64</f>
        <v>0.0183465495833819</v>
      </c>
    </row>
    <row r="61" customFormat="false" ht="15" hidden="false" customHeight="false" outlineLevel="0" collapsed="false">
      <c r="A61" s="12" t="s">
        <v>317</v>
      </c>
      <c r="B61" s="31" t="n">
        <f aca="false">B44</f>
        <v>265248000</v>
      </c>
      <c r="C61" s="31" t="n">
        <f aca="false">C44</f>
        <v>411088000</v>
      </c>
      <c r="D61" s="19" t="n">
        <f aca="false">C61/B61-1</f>
        <v>0.549825069369043</v>
      </c>
      <c r="E61" s="19" t="n">
        <f aca="false">C61/C$64</f>
        <v>0.342820289778787</v>
      </c>
    </row>
    <row r="62" customFormat="false" ht="15" hidden="false" customHeight="false" outlineLevel="0" collapsed="false">
      <c r="A62" s="12" t="s">
        <v>318</v>
      </c>
      <c r="B62" s="31" t="n">
        <f aca="false">B50</f>
        <v>29166666.6666667</v>
      </c>
      <c r="C62" s="31" t="n">
        <f aca="false">C50</f>
        <v>82745000</v>
      </c>
      <c r="D62" s="19" t="n">
        <f aca="false">C62/B62-1</f>
        <v>1.83697142857143</v>
      </c>
      <c r="E62" s="19" t="n">
        <f aca="false">C62/C$64</f>
        <v>0.0690038747853154</v>
      </c>
    </row>
    <row r="63" customFormat="false" ht="15" hidden="false" customHeight="false" outlineLevel="0" collapsed="false">
      <c r="A63" s="12" t="s">
        <v>319</v>
      </c>
      <c r="B63" s="31" t="n">
        <f aca="false">B54</f>
        <v>43041666.6666667</v>
      </c>
      <c r="C63" s="31" t="n">
        <f aca="false">C54</f>
        <v>134542559.52381</v>
      </c>
      <c r="D63" s="19" t="n">
        <f aca="false">C63/B63-1</f>
        <v>2.12586779145347</v>
      </c>
      <c r="E63" s="19" t="n">
        <f aca="false">C63/C$64</f>
        <v>0.112199624517213</v>
      </c>
    </row>
    <row r="64" customFormat="false" ht="15" hidden="false" customHeight="false" outlineLevel="0" collapsed="false">
      <c r="A64" s="15" t="s">
        <v>320</v>
      </c>
      <c r="B64" s="32" t="n">
        <f aca="false">SUM(B58:B63)</f>
        <v>768133633.333333</v>
      </c>
      <c r="C64" s="32" t="n">
        <f aca="false">SUM(C58:C63)</f>
        <v>1199135559.52381</v>
      </c>
      <c r="D64" s="33" t="n">
        <f aca="false">C64/B64-1</f>
        <v>0.561102791867261</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2"/>
    <col collapsed="false" customWidth="true" hidden="false" outlineLevel="0" max="4" min="2" style="0" width="20"/>
    <col collapsed="false" customWidth="true" hidden="false" outlineLevel="0" max="5" min="5" style="0" width="14"/>
  </cols>
  <sheetData>
    <row r="1" customFormat="false" ht="24" hidden="false" customHeight="true" outlineLevel="0" collapsed="false">
      <c r="A1" s="6" t="s">
        <v>321</v>
      </c>
      <c r="B1" s="6"/>
      <c r="C1" s="6"/>
      <c r="D1" s="6"/>
      <c r="E1" s="6"/>
    </row>
    <row r="2" customFormat="false" ht="15" hidden="false" customHeight="false" outlineLevel="0" collapsed="false">
      <c r="A2" s="7" t="s">
        <v>322</v>
      </c>
      <c r="B2" s="7"/>
      <c r="C2" s="7"/>
      <c r="D2" s="7"/>
      <c r="E2" s="7"/>
    </row>
    <row r="4" customFormat="false" ht="19.5" hidden="false" customHeight="true" outlineLevel="0" collapsed="false">
      <c r="A4" s="4" t="s">
        <v>323</v>
      </c>
      <c r="B4" s="4"/>
      <c r="C4" s="4"/>
      <c r="D4" s="4"/>
      <c r="E4" s="4"/>
    </row>
    <row r="5" customFormat="false" ht="30" hidden="false" customHeight="true" outlineLevel="0" collapsed="false">
      <c r="A5" s="11" t="s">
        <v>324</v>
      </c>
      <c r="B5" s="11" t="s">
        <v>78</v>
      </c>
      <c r="C5" s="11" t="s">
        <v>79</v>
      </c>
      <c r="D5" s="11" t="s">
        <v>325</v>
      </c>
      <c r="E5" s="11" t="s">
        <v>326</v>
      </c>
    </row>
    <row r="6" customFormat="false" ht="19.5" hidden="false" customHeight="true" outlineLevel="0" collapsed="false">
      <c r="A6" s="4" t="s">
        <v>327</v>
      </c>
      <c r="B6" s="4"/>
      <c r="C6" s="4"/>
      <c r="D6" s="4"/>
      <c r="E6" s="4"/>
    </row>
    <row r="7" customFormat="false" ht="15" hidden="false" customHeight="false" outlineLevel="0" collapsed="false">
      <c r="A7" s="38" t="s">
        <v>328</v>
      </c>
      <c r="B7" s="36" t="n">
        <f aca="false">SUM(Production!B42:B45)</f>
        <v>819808650</v>
      </c>
      <c r="C7" s="36" t="n">
        <f aca="false">SUM(Production!C42:C45)</f>
        <v>1373071456.25</v>
      </c>
      <c r="D7" s="36" t="n">
        <f aca="false">C7-B7</f>
        <v>553262806.25</v>
      </c>
      <c r="E7" s="39" t="n">
        <f aca="false">IF(B7=0,"n.a.",C7/B7-1)</f>
        <v>0.674868222297972</v>
      </c>
    </row>
    <row r="8" customFormat="false" ht="15" hidden="false" customHeight="false" outlineLevel="0" collapsed="false">
      <c r="A8" s="38" t="s">
        <v>329</v>
      </c>
      <c r="B8" s="36" t="n">
        <f aca="false">Production!B46</f>
        <v>14000000</v>
      </c>
      <c r="C8" s="36" t="n">
        <f aca="false">Production!C46</f>
        <v>28000000</v>
      </c>
      <c r="D8" s="36" t="n">
        <f aca="false">C8-B8</f>
        <v>14000000</v>
      </c>
      <c r="E8" s="39" t="n">
        <f aca="false">IF(B8=0,"n.a.",C8/B8-1)</f>
        <v>1</v>
      </c>
    </row>
    <row r="9" customFormat="false" ht="15" hidden="false" customHeight="false" outlineLevel="0" collapsed="false">
      <c r="A9" s="38" t="s">
        <v>330</v>
      </c>
      <c r="B9" s="36" t="n">
        <f aca="false">Production!B47</f>
        <v>0</v>
      </c>
      <c r="C9" s="36" t="n">
        <f aca="false">Production!C47</f>
        <v>42000000</v>
      </c>
      <c r="D9" s="36" t="n">
        <f aca="false">C9-B9</f>
        <v>42000000</v>
      </c>
      <c r="E9" s="39" t="str">
        <f aca="false">IF(B9=0,"n.a.",C9/B9-1)</f>
        <v>n.a.</v>
      </c>
    </row>
    <row r="10" customFormat="false" ht="15" hidden="false" customHeight="false" outlineLevel="0" collapsed="false">
      <c r="A10" s="15" t="s">
        <v>331</v>
      </c>
      <c r="B10" s="32" t="n">
        <f aca="false">Production!B48</f>
        <v>833808650</v>
      </c>
      <c r="C10" s="32" t="n">
        <f aca="false">Production!C48</f>
        <v>1443071456.25</v>
      </c>
      <c r="D10" s="32" t="n">
        <f aca="false">C10-B10</f>
        <v>609262806.25</v>
      </c>
      <c r="E10" s="33" t="n">
        <f aca="false">IF(B10=0,"n.a.",C10/B10-1)</f>
        <v>0.730698591637302</v>
      </c>
    </row>
    <row r="12" customFormat="false" ht="19.5" hidden="false" customHeight="true" outlineLevel="0" collapsed="false">
      <c r="A12" s="4" t="s">
        <v>332</v>
      </c>
      <c r="B12" s="4"/>
      <c r="C12" s="4"/>
      <c r="D12" s="4"/>
      <c r="E12" s="4"/>
    </row>
    <row r="13" customFormat="false" ht="15" hidden="false" customHeight="false" outlineLevel="0" collapsed="false">
      <c r="A13" s="38" t="s">
        <v>314</v>
      </c>
      <c r="B13" s="36" t="n">
        <f aca="false">Charges!B13</f>
        <v>254100000</v>
      </c>
      <c r="C13" s="36" t="n">
        <f aca="false">Charges!C13</f>
        <v>402760000</v>
      </c>
      <c r="D13" s="36" t="n">
        <f aca="false">C13-B13</f>
        <v>148660000</v>
      </c>
      <c r="E13" s="39" t="n">
        <f aca="false">IF(B13=0,"n.a.",C13/B13-1)</f>
        <v>0.585045257772531</v>
      </c>
    </row>
    <row r="14" customFormat="false" ht="15" hidden="false" customHeight="false" outlineLevel="0" collapsed="false">
      <c r="A14" s="38" t="s">
        <v>315</v>
      </c>
      <c r="B14" s="36" t="n">
        <f aca="false">Charges!B26</f>
        <v>162577300</v>
      </c>
      <c r="C14" s="36" t="n">
        <f aca="false">Charges!C26</f>
        <v>146000000</v>
      </c>
      <c r="D14" s="36" t="n">
        <f aca="false">C14-B14</f>
        <v>-16577300</v>
      </c>
      <c r="E14" s="39" t="n">
        <f aca="false">IF(B14=0,"n.a.",C14/B14-1)</f>
        <v>-0.101965649571004</v>
      </c>
    </row>
    <row r="15" customFormat="false" ht="15" hidden="false" customHeight="false" outlineLevel="0" collapsed="false">
      <c r="A15" s="38" t="s">
        <v>316</v>
      </c>
      <c r="B15" s="36" t="n">
        <f aca="false">Charges!B32</f>
        <v>14000000</v>
      </c>
      <c r="C15" s="36" t="n">
        <f aca="false">Charges!C32</f>
        <v>22000000</v>
      </c>
      <c r="D15" s="36" t="n">
        <f aca="false">C15-B15</f>
        <v>8000000</v>
      </c>
      <c r="E15" s="39" t="n">
        <f aca="false">IF(B15=0,"n.a.",C15/B15-1)</f>
        <v>0.571428571428571</v>
      </c>
    </row>
    <row r="16" customFormat="false" ht="15" hidden="false" customHeight="false" outlineLevel="0" collapsed="false">
      <c r="A16" s="38" t="s">
        <v>317</v>
      </c>
      <c r="B16" s="36" t="n">
        <f aca="false">Charges!B44</f>
        <v>265248000</v>
      </c>
      <c r="C16" s="36" t="n">
        <f aca="false">Charges!C44</f>
        <v>411088000</v>
      </c>
      <c r="D16" s="36" t="n">
        <f aca="false">C16-B16</f>
        <v>145840000</v>
      </c>
      <c r="E16" s="39" t="n">
        <f aca="false">IF(B16=0,"n.a.",C16/B16-1)</f>
        <v>0.549825069369043</v>
      </c>
    </row>
    <row r="17" customFormat="false" ht="15" hidden="false" customHeight="false" outlineLevel="0" collapsed="false">
      <c r="A17" s="38" t="s">
        <v>319</v>
      </c>
      <c r="B17" s="36" t="n">
        <f aca="false">Charges!B54</f>
        <v>43041666.6666667</v>
      </c>
      <c r="C17" s="36" t="n">
        <f aca="false">Charges!C54</f>
        <v>134542559.52381</v>
      </c>
      <c r="D17" s="36" t="n">
        <f aca="false">C17-B17</f>
        <v>91500892.8571429</v>
      </c>
      <c r="E17" s="39" t="n">
        <f aca="false">IF(B17=0,"n.a.",C17/B17-1)</f>
        <v>2.12586779145347</v>
      </c>
    </row>
    <row r="18" customFormat="false" ht="15" hidden="false" customHeight="false" outlineLevel="0" collapsed="false">
      <c r="A18" s="15" t="s">
        <v>333</v>
      </c>
      <c r="B18" s="32" t="n">
        <f aca="false">SUM(B13:B17)</f>
        <v>738966966.666667</v>
      </c>
      <c r="C18" s="32" t="n">
        <f aca="false">SUM(C13:C17)</f>
        <v>1116390559.52381</v>
      </c>
      <c r="D18" s="32" t="n">
        <f aca="false">C18-B18</f>
        <v>377423592.857143</v>
      </c>
      <c r="E18" s="33" t="n">
        <f aca="false">IF(B18=0,"n.a.",C18/B18-1)</f>
        <v>0.510744877487049</v>
      </c>
    </row>
    <row r="20" customFormat="false" ht="15" hidden="false" customHeight="false" outlineLevel="0" collapsed="false">
      <c r="A20" s="40" t="s">
        <v>334</v>
      </c>
      <c r="B20" s="41" t="n">
        <f aca="false">B10-B18</f>
        <v>94841683.3333334</v>
      </c>
      <c r="C20" s="41" t="n">
        <f aca="false">C10-C18</f>
        <v>326680896.726191</v>
      </c>
      <c r="D20" s="41" t="n">
        <f aca="false">C20-B20</f>
        <v>231839213.392857</v>
      </c>
      <c r="E20" s="42" t="n">
        <f aca="false">IF(B20=0,"n.a.",C20/B20-1)</f>
        <v>2.44448648784552</v>
      </c>
    </row>
    <row r="22" customFormat="false" ht="15" hidden="false" customHeight="false" outlineLevel="0" collapsed="false">
      <c r="A22" s="38" t="s">
        <v>335</v>
      </c>
      <c r="B22" s="36" t="n">
        <f aca="false">Charges!B50</f>
        <v>29166666.6666667</v>
      </c>
      <c r="C22" s="36" t="n">
        <f aca="false">Charges!C50</f>
        <v>82745000</v>
      </c>
      <c r="D22" s="36" t="n">
        <f aca="false">C22-B22</f>
        <v>53578333.3333333</v>
      </c>
      <c r="E22" s="39" t="n">
        <f aca="false">IF(B22=0,"n.a.",C22/B22-1)</f>
        <v>1.83697142857143</v>
      </c>
    </row>
    <row r="23" customFormat="false" ht="15" hidden="false" customHeight="false" outlineLevel="0" collapsed="false">
      <c r="A23" s="15" t="s">
        <v>336</v>
      </c>
      <c r="B23" s="32" t="n">
        <f aca="false">-B22</f>
        <v>-29166666.6666667</v>
      </c>
      <c r="C23" s="32" t="n">
        <f aca="false">-C22</f>
        <v>-82745000</v>
      </c>
      <c r="D23" s="32" t="n">
        <f aca="false">C23-B23</f>
        <v>-53578333.3333333</v>
      </c>
      <c r="E23" s="33" t="n">
        <f aca="false">IF(B23=0,"n.a.",C23/B23-1)</f>
        <v>1.83697142857143</v>
      </c>
    </row>
    <row r="25" customFormat="false" ht="15" hidden="false" customHeight="false" outlineLevel="0" collapsed="false">
      <c r="A25" s="40" t="s">
        <v>337</v>
      </c>
      <c r="B25" s="41" t="n">
        <f aca="false">B20+B23</f>
        <v>65675016.6666667</v>
      </c>
      <c r="C25" s="41" t="n">
        <f aca="false">C20+C23</f>
        <v>243935896.726191</v>
      </c>
      <c r="D25" s="41" t="n">
        <f aca="false">C25-B25</f>
        <v>178260880.059524</v>
      </c>
      <c r="E25" s="42" t="n">
        <f aca="false">IF(B25=0,"n.a.",C25/B25-1)</f>
        <v>2.71428754962159</v>
      </c>
    </row>
    <row r="26" customFormat="false" ht="15" hidden="false" customHeight="false" outlineLevel="0" collapsed="false">
      <c r="A26" s="12" t="s">
        <v>338</v>
      </c>
      <c r="B26" s="31" t="n">
        <f aca="false">MAX(0,B25*Hypotheses!B49)</f>
        <v>16418754.1666667</v>
      </c>
      <c r="C26" s="31" t="n">
        <f aca="false">MAX(0,C25*Hypotheses!C49)</f>
        <v>60983974.1815476</v>
      </c>
      <c r="D26" s="31" t="n">
        <f aca="false">C26-B26</f>
        <v>44565220.014881</v>
      </c>
      <c r="E26" s="19" t="n">
        <f aca="false">IF(B26=0,"n.a.",C26/B26-1)</f>
        <v>2.71428754962159</v>
      </c>
    </row>
    <row r="27" customFormat="false" ht="15" hidden="false" customHeight="false" outlineLevel="0" collapsed="false">
      <c r="A27" s="40" t="s">
        <v>339</v>
      </c>
      <c r="B27" s="41" t="n">
        <f aca="false">B25-B26</f>
        <v>49256262.5</v>
      </c>
      <c r="C27" s="41" t="n">
        <f aca="false">C25-C26</f>
        <v>182951922.544643</v>
      </c>
      <c r="D27" s="41" t="n">
        <f aca="false">C27-B27</f>
        <v>133695660.044643</v>
      </c>
      <c r="E27" s="42" t="n">
        <f aca="false">IF(B27=0,"n.a.",C27/B27-1)</f>
        <v>2.71428754962159</v>
      </c>
    </row>
    <row r="29" customFormat="false" ht="15" hidden="false" customHeight="false" outlineLevel="0" collapsed="false">
      <c r="A29" s="15" t="s">
        <v>340</v>
      </c>
      <c r="B29" s="32" t="n">
        <f aca="false">B27+B17</f>
        <v>92297929.1666667</v>
      </c>
      <c r="C29" s="32" t="n">
        <f aca="false">C27+C17</f>
        <v>317494482.068453</v>
      </c>
      <c r="D29" s="32" t="n">
        <f aca="false">C29-B29</f>
        <v>225196552.901786</v>
      </c>
      <c r="E29" s="33" t="n">
        <f aca="false">IF(B29=0,"n.a.",C29/B29-1)</f>
        <v>2.43988738355265</v>
      </c>
    </row>
    <row r="31" customFormat="false" ht="15" hidden="false" customHeight="true" outlineLevel="0" collapsed="false">
      <c r="A31" s="26" t="s">
        <v>341</v>
      </c>
      <c r="B31" s="26"/>
      <c r="C31" s="26"/>
      <c r="D31" s="26"/>
      <c r="E31" s="26"/>
    </row>
    <row r="32" customFormat="false" ht="15" hidden="false" customHeight="false" outlineLevel="0" collapsed="false">
      <c r="A32" s="26"/>
      <c r="B32" s="26"/>
      <c r="C32" s="26"/>
      <c r="D32" s="26"/>
      <c r="E32" s="26"/>
    </row>
    <row r="33" customFormat="false" ht="15" hidden="false" customHeight="false" outlineLevel="0" collapsed="false">
      <c r="A33" s="26"/>
      <c r="B33" s="26"/>
      <c r="C33" s="26"/>
      <c r="D33" s="26"/>
      <c r="E33" s="26"/>
    </row>
  </sheetData>
  <mergeCells count="3">
    <mergeCell ref="A1:E1"/>
    <mergeCell ref="A2:E2"/>
    <mergeCell ref="A31:E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2"/>
    <col collapsed="false" customWidth="true" hidden="false" outlineLevel="0" max="3" min="2" style="0" width="20"/>
    <col collapsed="false" customWidth="true" hidden="false" outlineLevel="0" max="4" min="4" style="0" width="52"/>
  </cols>
  <sheetData>
    <row r="1" customFormat="false" ht="24" hidden="false" customHeight="true" outlineLevel="0" collapsed="false">
      <c r="A1" s="6" t="s">
        <v>342</v>
      </c>
      <c r="B1" s="6"/>
      <c r="C1" s="6"/>
      <c r="D1" s="6"/>
    </row>
    <row r="2" customFormat="false" ht="15" hidden="false" customHeight="false" outlineLevel="0" collapsed="false">
      <c r="A2" s="7" t="s">
        <v>343</v>
      </c>
      <c r="B2" s="7"/>
      <c r="C2" s="7"/>
      <c r="D2" s="7"/>
    </row>
    <row r="4" customFormat="false" ht="19.5" hidden="false" customHeight="true" outlineLevel="0" collapsed="false">
      <c r="A4" s="4" t="s">
        <v>344</v>
      </c>
      <c r="B4" s="4"/>
      <c r="C4" s="4"/>
      <c r="D4" s="4"/>
    </row>
    <row r="5" customFormat="false" ht="30" hidden="false" customHeight="true" outlineLevel="0" collapsed="false">
      <c r="A5" s="11" t="s">
        <v>162</v>
      </c>
      <c r="B5" s="11" t="s">
        <v>235</v>
      </c>
      <c r="C5" s="11" t="s">
        <v>236</v>
      </c>
      <c r="D5" s="11" t="s">
        <v>107</v>
      </c>
    </row>
    <row r="6" customFormat="false" ht="15" hidden="false" customHeight="false" outlineLevel="0" collapsed="false">
      <c r="A6" s="12" t="s">
        <v>345</v>
      </c>
      <c r="B6" s="24" t="n">
        <v>28000000</v>
      </c>
      <c r="C6" s="24" t="n">
        <v>45000000</v>
      </c>
      <c r="D6" s="14" t="s">
        <v>346</v>
      </c>
    </row>
    <row r="7" customFormat="false" ht="15" hidden="false" customHeight="false" outlineLevel="0" collapsed="false">
      <c r="A7" s="12" t="s">
        <v>347</v>
      </c>
      <c r="B7" s="24" t="n">
        <v>72000000</v>
      </c>
      <c r="C7" s="24" t="n">
        <v>118000000</v>
      </c>
      <c r="D7" s="14" t="s">
        <v>348</v>
      </c>
    </row>
    <row r="8" customFormat="false" ht="15" hidden="false" customHeight="false" outlineLevel="0" collapsed="false">
      <c r="A8" s="12" t="s">
        <v>349</v>
      </c>
      <c r="B8" s="24" t="n">
        <v>46000000</v>
      </c>
      <c r="C8" s="24" t="n">
        <v>78000000</v>
      </c>
      <c r="D8" s="14" t="s">
        <v>350</v>
      </c>
    </row>
    <row r="9" customFormat="false" ht="15" hidden="false" customHeight="false" outlineLevel="0" collapsed="false">
      <c r="A9" s="12" t="s">
        <v>351</v>
      </c>
      <c r="B9" s="24" t="n">
        <v>42000000</v>
      </c>
      <c r="C9" s="24" t="n">
        <v>68000000</v>
      </c>
      <c r="D9" s="14" t="s">
        <v>352</v>
      </c>
    </row>
    <row r="10" customFormat="false" ht="15" hidden="false" customHeight="false" outlineLevel="0" collapsed="false">
      <c r="A10" s="12" t="s">
        <v>353</v>
      </c>
      <c r="B10" s="24" t="n">
        <v>12000000</v>
      </c>
      <c r="C10" s="24" t="n">
        <v>20000000</v>
      </c>
      <c r="D10" s="14"/>
    </row>
    <row r="11" customFormat="false" ht="15" hidden="false" customHeight="false" outlineLevel="0" collapsed="false">
      <c r="A11" s="12" t="s">
        <v>354</v>
      </c>
      <c r="B11" s="36" t="n">
        <f aca="false">'Compte de resultat'!B26</f>
        <v>16418754.1666667</v>
      </c>
      <c r="C11" s="36" t="n">
        <f aca="false">'Compte de resultat'!C26</f>
        <v>60983974.1815476</v>
      </c>
      <c r="D11" s="14" t="s">
        <v>355</v>
      </c>
    </row>
    <row r="12" customFormat="false" ht="15" hidden="false" customHeight="false" outlineLevel="0" collapsed="false">
      <c r="A12" s="15" t="s">
        <v>356</v>
      </c>
      <c r="B12" s="32" t="n">
        <f aca="false">B6+B7+B8-B9-B10-B11</f>
        <v>75581245.8333333</v>
      </c>
      <c r="C12" s="32" t="n">
        <f aca="false">C6+C7+C8-C9-C10-C11</f>
        <v>92016025.8184524</v>
      </c>
    </row>
    <row r="13" customFormat="false" ht="15" hidden="false" customHeight="false" outlineLevel="0" collapsed="false">
      <c r="A13" s="12" t="s">
        <v>357</v>
      </c>
      <c r="B13" s="31" t="n">
        <f aca="false">B12-0</f>
        <v>75581245.8333333</v>
      </c>
      <c r="C13" s="31" t="n">
        <f aca="false">C12-B12</f>
        <v>16434779.985119</v>
      </c>
    </row>
    <row r="15" customFormat="false" ht="19.5" hidden="false" customHeight="true" outlineLevel="0" collapsed="false">
      <c r="A15" s="4" t="s">
        <v>358</v>
      </c>
      <c r="B15" s="4"/>
      <c r="C15" s="4"/>
      <c r="D15" s="4"/>
    </row>
    <row r="16" customFormat="false" ht="30" hidden="false" customHeight="true" outlineLevel="0" collapsed="false">
      <c r="A16" s="11" t="s">
        <v>359</v>
      </c>
      <c r="B16" s="11" t="s">
        <v>78</v>
      </c>
      <c r="C16" s="11" t="s">
        <v>79</v>
      </c>
      <c r="D16" s="11" t="s">
        <v>107</v>
      </c>
    </row>
    <row r="17" customFormat="false" ht="15" hidden="false" customHeight="false" outlineLevel="0" collapsed="false">
      <c r="A17" s="12" t="s">
        <v>360</v>
      </c>
      <c r="B17" s="24" t="n">
        <v>320000000</v>
      </c>
      <c r="C17" s="24" t="n">
        <v>50000000</v>
      </c>
      <c r="D17" s="14" t="s">
        <v>361</v>
      </c>
    </row>
    <row r="18" customFormat="false" ht="15" hidden="false" customHeight="false" outlineLevel="0" collapsed="false">
      <c r="A18" s="12" t="s">
        <v>362</v>
      </c>
      <c r="B18" s="24" t="n">
        <v>0</v>
      </c>
      <c r="C18" s="24" t="n">
        <v>10000000</v>
      </c>
      <c r="D18" s="14" t="s">
        <v>363</v>
      </c>
    </row>
    <row r="19" customFormat="false" ht="15" hidden="false" customHeight="false" outlineLevel="0" collapsed="false">
      <c r="A19" s="12" t="s">
        <v>364</v>
      </c>
      <c r="B19" s="24" t="n">
        <v>250000000</v>
      </c>
      <c r="C19" s="24" t="n">
        <v>0</v>
      </c>
      <c r="D19" s="14" t="s">
        <v>365</v>
      </c>
    </row>
    <row r="20" customFormat="false" ht="15" hidden="false" customHeight="false" outlineLevel="0" collapsed="false">
      <c r="A20" s="12" t="s">
        <v>366</v>
      </c>
      <c r="B20" s="24" t="n">
        <v>0</v>
      </c>
      <c r="C20" s="24" t="n">
        <v>450000000</v>
      </c>
      <c r="D20" s="14" t="s">
        <v>367</v>
      </c>
    </row>
    <row r="21" customFormat="false" ht="15" hidden="false" customHeight="false" outlineLevel="0" collapsed="false">
      <c r="A21" s="12" t="s">
        <v>368</v>
      </c>
      <c r="B21" s="24" t="n">
        <v>42000000</v>
      </c>
      <c r="C21" s="24" t="n">
        <v>42000000</v>
      </c>
      <c r="D21" s="14" t="s">
        <v>369</v>
      </c>
    </row>
    <row r="22" customFormat="false" ht="15" hidden="false" customHeight="false" outlineLevel="0" collapsed="false">
      <c r="A22" s="8" t="s">
        <v>370</v>
      </c>
      <c r="B22" s="35" t="n">
        <f aca="false">B19-B21</f>
        <v>208000000</v>
      </c>
      <c r="C22" s="35" t="n">
        <f aca="false">B22-C21</f>
        <v>166000000</v>
      </c>
    </row>
    <row r="23" customFormat="false" ht="15" hidden="false" customHeight="false" outlineLevel="0" collapsed="false">
      <c r="A23" s="8" t="s">
        <v>371</v>
      </c>
      <c r="B23" s="35" t="n">
        <f aca="false">B20</f>
        <v>0</v>
      </c>
      <c r="C23" s="35" t="n">
        <f aca="false">B23+C20</f>
        <v>450000000</v>
      </c>
    </row>
    <row r="25" customFormat="false" ht="19.5" hidden="false" customHeight="true" outlineLevel="0" collapsed="false">
      <c r="A25" s="4" t="s">
        <v>372</v>
      </c>
      <c r="B25" s="4"/>
      <c r="C25" s="4"/>
      <c r="D25" s="4"/>
    </row>
    <row r="26" customFormat="false" ht="30" hidden="false" customHeight="true" outlineLevel="0" collapsed="false">
      <c r="A26" s="11" t="s">
        <v>373</v>
      </c>
      <c r="B26" s="11" t="s">
        <v>78</v>
      </c>
      <c r="C26" s="11" t="s">
        <v>79</v>
      </c>
      <c r="D26" s="11" t="s">
        <v>107</v>
      </c>
    </row>
    <row r="27" customFormat="false" ht="15" hidden="false" customHeight="false" outlineLevel="0" collapsed="false">
      <c r="A27" s="12" t="s">
        <v>374</v>
      </c>
      <c r="B27" s="31" t="n">
        <v>0</v>
      </c>
      <c r="C27" s="31" t="n">
        <f aca="false">B38</f>
        <v>96716683.3333334</v>
      </c>
      <c r="D27" s="17" t="s">
        <v>375</v>
      </c>
    </row>
    <row r="28" customFormat="false" ht="15" hidden="false" customHeight="false" outlineLevel="0" collapsed="false">
      <c r="A28" s="38" t="s">
        <v>376</v>
      </c>
      <c r="B28" s="36" t="n">
        <f aca="false">'Compte de resultat'!B29</f>
        <v>92297929.1666667</v>
      </c>
      <c r="C28" s="36" t="n">
        <f aca="false">'Compte de resultat'!C29</f>
        <v>317494482.068453</v>
      </c>
      <c r="D28" s="17" t="s">
        <v>377</v>
      </c>
    </row>
    <row r="29" customFormat="false" ht="15" hidden="false" customHeight="false" outlineLevel="0" collapsed="false">
      <c r="A29" s="12" t="s">
        <v>357</v>
      </c>
      <c r="B29" s="31" t="n">
        <f aca="false">-B13</f>
        <v>-75581245.8333333</v>
      </c>
      <c r="C29" s="31" t="n">
        <f aca="false">-C13</f>
        <v>-16434779.985119</v>
      </c>
      <c r="D29" s="17"/>
    </row>
    <row r="30" customFormat="false" ht="15" hidden="false" customHeight="false" outlineLevel="0" collapsed="false">
      <c r="A30" s="15" t="s">
        <v>378</v>
      </c>
      <c r="B30" s="32" t="n">
        <f aca="false">B28+B29</f>
        <v>16716683.3333334</v>
      </c>
      <c r="C30" s="32" t="n">
        <f aca="false">C28+C29</f>
        <v>301059702.083333</v>
      </c>
      <c r="D30" s="17"/>
    </row>
    <row r="31" customFormat="false" ht="15" hidden="false" customHeight="false" outlineLevel="0" collapsed="false">
      <c r="A31" s="38" t="s">
        <v>379</v>
      </c>
      <c r="B31" s="36" t="n">
        <f aca="false">-Immobilisations!B12</f>
        <v>-448000000</v>
      </c>
      <c r="C31" s="36" t="n">
        <f aca="false">-Immobilisations!B21</f>
        <v>-758000000</v>
      </c>
      <c r="D31" s="17"/>
    </row>
    <row r="32" customFormat="false" ht="15" hidden="false" customHeight="false" outlineLevel="0" collapsed="false">
      <c r="A32" s="15" t="s">
        <v>380</v>
      </c>
      <c r="B32" s="32" t="n">
        <f aca="false">B31</f>
        <v>-448000000</v>
      </c>
      <c r="C32" s="32" t="n">
        <f aca="false">C31</f>
        <v>-758000000</v>
      </c>
      <c r="D32" s="17"/>
    </row>
    <row r="33" customFormat="false" ht="15" hidden="false" customHeight="false" outlineLevel="0" collapsed="false">
      <c r="A33" s="12" t="s">
        <v>381</v>
      </c>
      <c r="B33" s="31" t="n">
        <f aca="false">B17+B18</f>
        <v>320000000</v>
      </c>
      <c r="C33" s="31" t="n">
        <f aca="false">C17+C18</f>
        <v>60000000</v>
      </c>
      <c r="D33" s="17"/>
    </row>
    <row r="34" customFormat="false" ht="15" hidden="false" customHeight="false" outlineLevel="0" collapsed="false">
      <c r="A34" s="12" t="s">
        <v>382</v>
      </c>
      <c r="B34" s="31" t="n">
        <f aca="false">B19+B20</f>
        <v>250000000</v>
      </c>
      <c r="C34" s="31" t="n">
        <f aca="false">C19+C20</f>
        <v>450000000</v>
      </c>
      <c r="D34" s="17"/>
    </row>
    <row r="35" customFormat="false" ht="15" hidden="false" customHeight="false" outlineLevel="0" collapsed="false">
      <c r="A35" s="12" t="s">
        <v>368</v>
      </c>
      <c r="B35" s="31" t="n">
        <f aca="false">-B21</f>
        <v>-42000000</v>
      </c>
      <c r="C35" s="31" t="n">
        <f aca="false">-C21</f>
        <v>-42000000</v>
      </c>
      <c r="D35" s="17"/>
    </row>
    <row r="36" customFormat="false" ht="15" hidden="false" customHeight="false" outlineLevel="0" collapsed="false">
      <c r="A36" s="15" t="s">
        <v>383</v>
      </c>
      <c r="B36" s="32" t="n">
        <f aca="false">SUM(B33:B35)</f>
        <v>528000000</v>
      </c>
      <c r="C36" s="32" t="n">
        <f aca="false">SUM(C33:C35)</f>
        <v>468000000</v>
      </c>
      <c r="D36" s="17"/>
    </row>
    <row r="37" customFormat="false" ht="15" hidden="false" customHeight="false" outlineLevel="0" collapsed="false">
      <c r="A37" s="15" t="s">
        <v>384</v>
      </c>
      <c r="B37" s="32" t="n">
        <f aca="false">B30+B32+B36</f>
        <v>96716683.3333334</v>
      </c>
      <c r="C37" s="32" t="n">
        <f aca="false">C30+C32+C36</f>
        <v>11059702.0833334</v>
      </c>
      <c r="D37" s="17"/>
    </row>
    <row r="38" customFormat="false" ht="15" hidden="false" customHeight="false" outlineLevel="0" collapsed="false">
      <c r="A38" s="40" t="s">
        <v>385</v>
      </c>
      <c r="B38" s="41" t="n">
        <f aca="false">B27+B37</f>
        <v>96716683.3333334</v>
      </c>
      <c r="C38" s="41" t="n">
        <f aca="false">C27+C37</f>
        <v>107776385.416667</v>
      </c>
      <c r="D38" s="17" t="s">
        <v>386</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2"/>
    <col collapsed="false" customWidth="true" hidden="false" outlineLevel="0" max="4" min="2" style="0" width="20"/>
    <col collapsed="false" customWidth="true" hidden="false" outlineLevel="0" max="5" min="5" style="0" width="40"/>
  </cols>
  <sheetData>
    <row r="1" customFormat="false" ht="24" hidden="false" customHeight="true" outlineLevel="0" collapsed="false">
      <c r="A1" s="6" t="s">
        <v>387</v>
      </c>
      <c r="B1" s="6"/>
      <c r="C1" s="6"/>
      <c r="D1" s="6"/>
      <c r="E1" s="6"/>
    </row>
    <row r="2" customFormat="false" ht="15" hidden="false" customHeight="false" outlineLevel="0" collapsed="false">
      <c r="A2" s="7" t="s">
        <v>388</v>
      </c>
      <c r="B2" s="7"/>
      <c r="C2" s="7"/>
      <c r="D2" s="7"/>
      <c r="E2" s="7"/>
    </row>
    <row r="4" customFormat="false" ht="19.5" hidden="false" customHeight="true" outlineLevel="0" collapsed="false">
      <c r="A4" s="4" t="s">
        <v>389</v>
      </c>
      <c r="B4" s="4"/>
      <c r="C4" s="4"/>
      <c r="D4" s="4"/>
      <c r="E4" s="4"/>
    </row>
    <row r="5" customFormat="false" ht="30" hidden="false" customHeight="true" outlineLevel="0" collapsed="false">
      <c r="A5" s="11" t="s">
        <v>390</v>
      </c>
      <c r="B5" s="11" t="s">
        <v>235</v>
      </c>
      <c r="C5" s="11" t="s">
        <v>236</v>
      </c>
      <c r="D5" s="11" t="s">
        <v>80</v>
      </c>
      <c r="E5" s="11" t="s">
        <v>107</v>
      </c>
    </row>
    <row r="6" customFormat="false" ht="15" hidden="false" customHeight="false" outlineLevel="0" collapsed="false">
      <c r="A6" s="43" t="s">
        <v>391</v>
      </c>
      <c r="B6" s="44"/>
      <c r="C6" s="44"/>
      <c r="D6" s="44"/>
      <c r="E6" s="44"/>
    </row>
    <row r="7" customFormat="false" ht="15" hidden="false" customHeight="false" outlineLevel="0" collapsed="false">
      <c r="A7" s="38" t="s">
        <v>237</v>
      </c>
      <c r="B7" s="36" t="n">
        <f aca="false">Immobilisations!B25</f>
        <v>448000000</v>
      </c>
      <c r="C7" s="36" t="n">
        <f aca="false">Immobilisations!C25</f>
        <v>1206000000</v>
      </c>
      <c r="D7" s="36" t="n">
        <f aca="false">C7-B7</f>
        <v>758000000</v>
      </c>
      <c r="E7" s="17"/>
    </row>
    <row r="8" customFormat="false" ht="15" hidden="false" customHeight="false" outlineLevel="0" collapsed="false">
      <c r="A8" s="38" t="s">
        <v>392</v>
      </c>
      <c r="B8" s="36" t="n">
        <f aca="false">-Immobilisations!B27</f>
        <v>-43041666.6666667</v>
      </c>
      <c r="C8" s="36" t="n">
        <f aca="false">-Immobilisations!C27</f>
        <v>-177584226.190476</v>
      </c>
      <c r="D8" s="36" t="n">
        <f aca="false">C8-B8</f>
        <v>-134542559.52381</v>
      </c>
      <c r="E8" s="17"/>
    </row>
    <row r="9" customFormat="false" ht="15" hidden="false" customHeight="false" outlineLevel="0" collapsed="false">
      <c r="A9" s="15" t="s">
        <v>393</v>
      </c>
      <c r="B9" s="32" t="n">
        <f aca="false">B7+B8</f>
        <v>404958333.333333</v>
      </c>
      <c r="C9" s="32" t="n">
        <f aca="false">C7+C8</f>
        <v>1028415773.80952</v>
      </c>
      <c r="D9" s="32" t="n">
        <f aca="false">C9-B9</f>
        <v>623457440.476191</v>
      </c>
      <c r="E9" s="17"/>
    </row>
    <row r="10" customFormat="false" ht="15" hidden="false" customHeight="false" outlineLevel="0" collapsed="false">
      <c r="A10" s="43" t="s">
        <v>394</v>
      </c>
      <c r="B10" s="44"/>
      <c r="C10" s="44"/>
      <c r="D10" s="44"/>
      <c r="E10" s="44"/>
    </row>
    <row r="11" customFormat="false" ht="15" hidden="false" customHeight="false" outlineLevel="0" collapsed="false">
      <c r="A11" s="38" t="s">
        <v>345</v>
      </c>
      <c r="B11" s="36" t="n">
        <f aca="false">'Flux &amp; Financement'!B6</f>
        <v>28000000</v>
      </c>
      <c r="C11" s="36" t="n">
        <f aca="false">'Flux &amp; Financement'!C6</f>
        <v>45000000</v>
      </c>
      <c r="D11" s="36" t="n">
        <f aca="false">C11-B11</f>
        <v>17000000</v>
      </c>
      <c r="E11" s="17"/>
    </row>
    <row r="12" customFormat="false" ht="15" hidden="false" customHeight="false" outlineLevel="0" collapsed="false">
      <c r="A12" s="38" t="s">
        <v>395</v>
      </c>
      <c r="B12" s="36" t="n">
        <f aca="false">'Flux &amp; Financement'!B7</f>
        <v>72000000</v>
      </c>
      <c r="C12" s="36" t="n">
        <f aca="false">'Flux &amp; Financement'!C7</f>
        <v>118000000</v>
      </c>
      <c r="D12" s="36" t="n">
        <f aca="false">C12-B12</f>
        <v>46000000</v>
      </c>
      <c r="E12" s="17"/>
    </row>
    <row r="13" customFormat="false" ht="15" hidden="false" customHeight="false" outlineLevel="0" collapsed="false">
      <c r="A13" s="38" t="s">
        <v>349</v>
      </c>
      <c r="B13" s="36" t="n">
        <f aca="false">'Flux &amp; Financement'!B8</f>
        <v>46000000</v>
      </c>
      <c r="C13" s="36" t="n">
        <f aca="false">'Flux &amp; Financement'!C8</f>
        <v>78000000</v>
      </c>
      <c r="D13" s="36" t="n">
        <f aca="false">C13-B13</f>
        <v>32000000</v>
      </c>
      <c r="E13" s="17"/>
    </row>
    <row r="14" customFormat="false" ht="15" hidden="false" customHeight="false" outlineLevel="0" collapsed="false">
      <c r="A14" s="15" t="s">
        <v>396</v>
      </c>
      <c r="B14" s="32" t="n">
        <f aca="false">SUM(B11:B13)</f>
        <v>146000000</v>
      </c>
      <c r="C14" s="32" t="n">
        <f aca="false">SUM(C11:C13)</f>
        <v>241000000</v>
      </c>
      <c r="D14" s="32" t="n">
        <f aca="false">C14-B14</f>
        <v>95000000</v>
      </c>
      <c r="E14" s="17"/>
    </row>
    <row r="15" customFormat="false" ht="15" hidden="false" customHeight="false" outlineLevel="0" collapsed="false">
      <c r="A15" s="43" t="s">
        <v>397</v>
      </c>
      <c r="B15" s="44"/>
      <c r="C15" s="44"/>
      <c r="D15" s="44"/>
      <c r="E15" s="44"/>
    </row>
    <row r="16" customFormat="false" ht="15" hidden="false" customHeight="false" outlineLevel="0" collapsed="false">
      <c r="A16" s="38" t="s">
        <v>398</v>
      </c>
      <c r="B16" s="36" t="n">
        <f aca="false">'Flux &amp; Financement'!B38</f>
        <v>96716683.3333334</v>
      </c>
      <c r="C16" s="36" t="n">
        <f aca="false">'Flux &amp; Financement'!C38</f>
        <v>107776385.416667</v>
      </c>
      <c r="D16" s="36" t="n">
        <f aca="false">C16-B16</f>
        <v>11059702.0833334</v>
      </c>
      <c r="E16" s="17"/>
    </row>
    <row r="17" customFormat="false" ht="15" hidden="false" customHeight="false" outlineLevel="0" collapsed="false">
      <c r="A17" s="40" t="s">
        <v>399</v>
      </c>
      <c r="B17" s="41" t="n">
        <f aca="false">B9+B14+B16</f>
        <v>647675016.666667</v>
      </c>
      <c r="C17" s="41" t="n">
        <f aca="false">C9+C14+C16</f>
        <v>1377192159.22619</v>
      </c>
      <c r="D17" s="41" t="n">
        <f aca="false">C17-B17</f>
        <v>729517142.559524</v>
      </c>
      <c r="E17" s="17"/>
    </row>
    <row r="20" customFormat="false" ht="19.5" hidden="false" customHeight="true" outlineLevel="0" collapsed="false">
      <c r="A20" s="4" t="s">
        <v>400</v>
      </c>
      <c r="B20" s="4"/>
      <c r="C20" s="4"/>
      <c r="D20" s="4"/>
      <c r="E20" s="4"/>
    </row>
    <row r="21" customFormat="false" ht="30" hidden="false" customHeight="true" outlineLevel="0" collapsed="false">
      <c r="A21" s="11" t="s">
        <v>401</v>
      </c>
      <c r="B21" s="11" t="s">
        <v>235</v>
      </c>
      <c r="C21" s="11" t="s">
        <v>236</v>
      </c>
      <c r="D21" s="11" t="s">
        <v>80</v>
      </c>
      <c r="E21" s="11" t="s">
        <v>107</v>
      </c>
    </row>
    <row r="22" customFormat="false" ht="15" hidden="false" customHeight="false" outlineLevel="0" collapsed="false">
      <c r="A22" s="43" t="s">
        <v>402</v>
      </c>
      <c r="B22" s="44"/>
      <c r="C22" s="44"/>
      <c r="D22" s="44"/>
      <c r="E22" s="44"/>
    </row>
    <row r="23" customFormat="false" ht="15" hidden="false" customHeight="false" outlineLevel="0" collapsed="false">
      <c r="A23" s="38" t="s">
        <v>403</v>
      </c>
      <c r="B23" s="36" t="n">
        <v>0</v>
      </c>
      <c r="C23" s="36" t="n">
        <f aca="false">'Flux &amp; Financement'!C18</f>
        <v>10000000</v>
      </c>
      <c r="D23" s="36" t="n">
        <f aca="false">C23-B23</f>
        <v>10000000</v>
      </c>
      <c r="E23" s="17" t="s">
        <v>404</v>
      </c>
    </row>
    <row r="24" customFormat="false" ht="15" hidden="false" customHeight="false" outlineLevel="0" collapsed="false">
      <c r="A24" s="9" t="s">
        <v>405</v>
      </c>
      <c r="B24" s="24" t="n">
        <v>200000000</v>
      </c>
      <c r="C24" s="24" t="n">
        <v>0</v>
      </c>
      <c r="D24" s="24" t="n">
        <f aca="false">C24-B24</f>
        <v>-200000000</v>
      </c>
      <c r="E24" s="17" t="s">
        <v>406</v>
      </c>
    </row>
    <row r="25" customFormat="false" ht="15" hidden="false" customHeight="false" outlineLevel="0" collapsed="false">
      <c r="A25" s="38" t="s">
        <v>407</v>
      </c>
      <c r="B25" s="36" t="n">
        <v>0</v>
      </c>
      <c r="C25" s="36" t="n">
        <f aca="false">'Compte de resultat'!B27</f>
        <v>49256262.5</v>
      </c>
      <c r="D25" s="36" t="n">
        <f aca="false">C25-B25</f>
        <v>49256262.5</v>
      </c>
      <c r="E25" s="17" t="s">
        <v>408</v>
      </c>
    </row>
    <row r="26" customFormat="false" ht="15" hidden="false" customHeight="false" outlineLevel="0" collapsed="false">
      <c r="A26" s="38" t="s">
        <v>409</v>
      </c>
      <c r="B26" s="36" t="n">
        <f aca="false">'Compte de resultat'!B27</f>
        <v>49256262.5</v>
      </c>
      <c r="C26" s="36" t="n">
        <f aca="false">'Compte de resultat'!C27</f>
        <v>182951922.544643</v>
      </c>
      <c r="D26" s="36" t="n">
        <f aca="false">C26-B26</f>
        <v>133695660.044643</v>
      </c>
      <c r="E26" s="17"/>
    </row>
    <row r="27" customFormat="false" ht="15" hidden="false" customHeight="false" outlineLevel="0" collapsed="false">
      <c r="A27" s="15" t="s">
        <v>410</v>
      </c>
      <c r="B27" s="32" t="n">
        <f aca="false">SUM(B23:B26)</f>
        <v>249256262.5</v>
      </c>
      <c r="C27" s="32" t="n">
        <f aca="false">SUM(C23:C26)</f>
        <v>242208185.044643</v>
      </c>
      <c r="D27" s="32" t="n">
        <f aca="false">C27-B27</f>
        <v>-7048077.45535708</v>
      </c>
      <c r="E27" s="17"/>
    </row>
    <row r="28" customFormat="false" ht="15" hidden="false" customHeight="false" outlineLevel="0" collapsed="false">
      <c r="A28" s="9" t="s">
        <v>411</v>
      </c>
      <c r="B28" s="24" t="n">
        <v>120000000</v>
      </c>
      <c r="C28" s="24" t="n">
        <v>370000000</v>
      </c>
      <c r="D28" s="24" t="n">
        <f aca="false">C28-B28</f>
        <v>250000000</v>
      </c>
      <c r="E28" s="17" t="s">
        <v>412</v>
      </c>
    </row>
    <row r="29" customFormat="false" ht="15" hidden="false" customHeight="false" outlineLevel="0" collapsed="false">
      <c r="A29" s="15" t="s">
        <v>413</v>
      </c>
      <c r="B29" s="32" t="n">
        <f aca="false">B27+B28</f>
        <v>369256262.5</v>
      </c>
      <c r="C29" s="32" t="n">
        <f aca="false">C27+C28</f>
        <v>612208185.044643</v>
      </c>
      <c r="D29" s="32" t="n">
        <f aca="false">C29-B29</f>
        <v>242951922.544643</v>
      </c>
      <c r="E29" s="17" t="s">
        <v>414</v>
      </c>
    </row>
    <row r="30" customFormat="false" ht="15" hidden="false" customHeight="false" outlineLevel="0" collapsed="false">
      <c r="A30" s="43" t="s">
        <v>415</v>
      </c>
      <c r="B30" s="44"/>
      <c r="C30" s="44"/>
      <c r="D30" s="44"/>
      <c r="E30" s="44"/>
    </row>
    <row r="31" customFormat="false" ht="15" hidden="false" customHeight="false" outlineLevel="0" collapsed="false">
      <c r="A31" s="38" t="s">
        <v>416</v>
      </c>
      <c r="B31" s="36" t="n">
        <f aca="false">'Flux &amp; Financement'!B22</f>
        <v>208000000</v>
      </c>
      <c r="C31" s="36" t="n">
        <f aca="false">'Flux &amp; Financement'!C22</f>
        <v>166000000</v>
      </c>
      <c r="D31" s="36" t="n">
        <f aca="false">C31-B31</f>
        <v>-42000000</v>
      </c>
      <c r="E31" s="17"/>
    </row>
    <row r="32" customFormat="false" ht="15" hidden="false" customHeight="false" outlineLevel="0" collapsed="false">
      <c r="A32" s="38" t="s">
        <v>417</v>
      </c>
      <c r="B32" s="36" t="n">
        <f aca="false">'Flux &amp; Financement'!B23</f>
        <v>0</v>
      </c>
      <c r="C32" s="36" t="n">
        <f aca="false">'Flux &amp; Financement'!C23</f>
        <v>450000000</v>
      </c>
      <c r="D32" s="36" t="n">
        <f aca="false">C32-B32</f>
        <v>450000000</v>
      </c>
      <c r="E32" s="17"/>
    </row>
    <row r="33" customFormat="false" ht="15" hidden="false" customHeight="false" outlineLevel="0" collapsed="false">
      <c r="A33" s="15" t="s">
        <v>418</v>
      </c>
      <c r="B33" s="32" t="n">
        <f aca="false">B31+B32</f>
        <v>208000000</v>
      </c>
      <c r="C33" s="32" t="n">
        <f aca="false">C31+C32</f>
        <v>616000000</v>
      </c>
      <c r="D33" s="32" t="n">
        <f aca="false">C33-B33</f>
        <v>408000000</v>
      </c>
      <c r="E33" s="17"/>
    </row>
    <row r="34" customFormat="false" ht="15" hidden="false" customHeight="false" outlineLevel="0" collapsed="false">
      <c r="A34" s="43" t="s">
        <v>419</v>
      </c>
      <c r="B34" s="44"/>
      <c r="C34" s="44"/>
      <c r="D34" s="44"/>
      <c r="E34" s="44"/>
    </row>
    <row r="35" customFormat="false" ht="15" hidden="false" customHeight="false" outlineLevel="0" collapsed="false">
      <c r="A35" s="38" t="s">
        <v>351</v>
      </c>
      <c r="B35" s="36" t="n">
        <f aca="false">'Flux &amp; Financement'!B9</f>
        <v>42000000</v>
      </c>
      <c r="C35" s="36" t="n">
        <f aca="false">'Flux &amp; Financement'!C9</f>
        <v>68000000</v>
      </c>
      <c r="D35" s="36" t="n">
        <f aca="false">C35-B35</f>
        <v>26000000</v>
      </c>
      <c r="E35" s="17"/>
    </row>
    <row r="36" customFormat="false" ht="15" hidden="false" customHeight="false" outlineLevel="0" collapsed="false">
      <c r="A36" s="38" t="s">
        <v>420</v>
      </c>
      <c r="B36" s="36" t="n">
        <f aca="false">'Flux &amp; Financement'!B10</f>
        <v>12000000</v>
      </c>
      <c r="C36" s="36" t="n">
        <f aca="false">'Flux &amp; Financement'!C10</f>
        <v>20000000</v>
      </c>
      <c r="D36" s="36" t="n">
        <f aca="false">C36-B36</f>
        <v>8000000</v>
      </c>
      <c r="E36" s="17"/>
    </row>
    <row r="37" customFormat="false" ht="15" hidden="false" customHeight="false" outlineLevel="0" collapsed="false">
      <c r="A37" s="38" t="s">
        <v>421</v>
      </c>
      <c r="B37" s="36" t="n">
        <f aca="false">'Flux &amp; Financement'!B11</f>
        <v>16418754.1666667</v>
      </c>
      <c r="C37" s="36" t="n">
        <f aca="false">'Flux &amp; Financement'!C11</f>
        <v>60983974.1815476</v>
      </c>
      <c r="D37" s="36" t="n">
        <f aca="false">C37-B37</f>
        <v>44565220.014881</v>
      </c>
      <c r="E37" s="17"/>
    </row>
    <row r="38" customFormat="false" ht="15" hidden="false" customHeight="false" outlineLevel="0" collapsed="false">
      <c r="A38" s="15" t="s">
        <v>422</v>
      </c>
      <c r="B38" s="32" t="n">
        <f aca="false">SUM(B35:B37)</f>
        <v>70418754.1666667</v>
      </c>
      <c r="C38" s="32" t="n">
        <f aca="false">SUM(C35:C37)</f>
        <v>148983974.181548</v>
      </c>
      <c r="D38" s="32" t="n">
        <f aca="false">C38-B38</f>
        <v>78565220.014881</v>
      </c>
      <c r="E38" s="17"/>
    </row>
    <row r="39" customFormat="false" ht="15" hidden="false" customHeight="false" outlineLevel="0" collapsed="false">
      <c r="A39" s="40" t="s">
        <v>423</v>
      </c>
      <c r="B39" s="41" t="n">
        <f aca="false">B29+B33+B38</f>
        <v>647675016.666667</v>
      </c>
      <c r="C39" s="41" t="n">
        <f aca="false">C29+C33+C38</f>
        <v>1377192159.22619</v>
      </c>
      <c r="D39" s="41" t="n">
        <f aca="false">C39-B39</f>
        <v>729517142.559524</v>
      </c>
      <c r="E39" s="17"/>
    </row>
    <row r="42" customFormat="false" ht="19.5" hidden="false" customHeight="true" outlineLevel="0" collapsed="false">
      <c r="A42" s="4" t="s">
        <v>424</v>
      </c>
      <c r="B42" s="4"/>
      <c r="C42" s="4"/>
      <c r="D42" s="4"/>
      <c r="E42" s="4"/>
    </row>
    <row r="43" customFormat="false" ht="15" hidden="false" customHeight="false" outlineLevel="0" collapsed="false">
      <c r="A43" s="8" t="s">
        <v>425</v>
      </c>
      <c r="B43" s="35" t="n">
        <f aca="false">B17</f>
        <v>647675016.666667</v>
      </c>
      <c r="C43" s="35" t="n">
        <f aca="false">C17</f>
        <v>1377192159.22619</v>
      </c>
    </row>
    <row r="44" customFormat="false" ht="15" hidden="false" customHeight="false" outlineLevel="0" collapsed="false">
      <c r="A44" s="8" t="s">
        <v>426</v>
      </c>
      <c r="B44" s="35" t="n">
        <f aca="false">B39</f>
        <v>647675016.666667</v>
      </c>
      <c r="C44" s="35" t="n">
        <f aca="false">C39</f>
        <v>1377192159.22619</v>
      </c>
    </row>
    <row r="45" customFormat="false" ht="15" hidden="false" customHeight="false" outlineLevel="0" collapsed="false">
      <c r="A45" s="15" t="s">
        <v>427</v>
      </c>
      <c r="B45" s="32" t="n">
        <f aca="false">B43-B44</f>
        <v>0</v>
      </c>
      <c r="C45" s="32" t="n">
        <f aca="false">C43-C44</f>
        <v>0</v>
      </c>
    </row>
    <row r="46" customFormat="false" ht="15" hidden="false" customHeight="false" outlineLevel="0" collapsed="false">
      <c r="A46" s="45" t="str">
        <f aca="false">IF(AND(ABS(B45)&lt;1,ABS(C45)&lt;1),"BILAN EQUILIBRE SUR LES DEUX CAMPAGNES","DESEQUILIBRE - VERIFIER LES SAISIES")</f>
        <v>BILAN EQUILIBRE SUR LES DEUX CAMPAGNES</v>
      </c>
    </row>
    <row r="48" customFormat="false" ht="19.5" hidden="false" customHeight="true" outlineLevel="0" collapsed="false">
      <c r="A48" s="4" t="s">
        <v>428</v>
      </c>
      <c r="B48" s="4"/>
      <c r="C48" s="4"/>
      <c r="D48" s="4"/>
      <c r="E48" s="4"/>
    </row>
    <row r="49" customFormat="false" ht="30" hidden="false" customHeight="true" outlineLevel="0" collapsed="false">
      <c r="A49" s="11" t="s">
        <v>429</v>
      </c>
      <c r="B49" s="11" t="s">
        <v>235</v>
      </c>
      <c r="C49" s="11" t="s">
        <v>236</v>
      </c>
      <c r="D49" s="11"/>
      <c r="E49" s="11" t="s">
        <v>430</v>
      </c>
    </row>
    <row r="50" customFormat="false" ht="15" hidden="false" customHeight="false" outlineLevel="0" collapsed="false">
      <c r="A50" s="12" t="s">
        <v>431</v>
      </c>
      <c r="B50" s="31" t="n">
        <f aca="false">B29+B33</f>
        <v>577256262.5</v>
      </c>
      <c r="C50" s="31" t="n">
        <f aca="false">C29+C33</f>
        <v>1228208185.04464</v>
      </c>
    </row>
    <row r="51" customFormat="false" ht="15" hidden="false" customHeight="false" outlineLevel="0" collapsed="false">
      <c r="A51" s="12" t="s">
        <v>432</v>
      </c>
      <c r="B51" s="31" t="n">
        <f aca="false">B9</f>
        <v>404958333.333333</v>
      </c>
      <c r="C51" s="31" t="n">
        <f aca="false">C9</f>
        <v>1028415773.80952</v>
      </c>
    </row>
    <row r="52" customFormat="false" ht="15" hidden="false" customHeight="false" outlineLevel="0" collapsed="false">
      <c r="A52" s="15" t="s">
        <v>433</v>
      </c>
      <c r="B52" s="32" t="n">
        <f aca="false">B50-B51</f>
        <v>172297929.166667</v>
      </c>
      <c r="C52" s="32" t="n">
        <f aca="false">C50-C51</f>
        <v>199792411.235119</v>
      </c>
      <c r="E52" s="17" t="s">
        <v>434</v>
      </c>
    </row>
    <row r="53" customFormat="false" ht="15" hidden="false" customHeight="false" outlineLevel="0" collapsed="false">
      <c r="A53" s="12" t="s">
        <v>356</v>
      </c>
      <c r="B53" s="31" t="n">
        <f aca="false">'Flux &amp; Financement'!B12</f>
        <v>75581245.8333333</v>
      </c>
      <c r="C53" s="31" t="n">
        <f aca="false">'Flux &amp; Financement'!C12</f>
        <v>92016025.8184524</v>
      </c>
    </row>
    <row r="54" customFormat="false" ht="15" hidden="false" customHeight="false" outlineLevel="0" collapsed="false">
      <c r="A54" s="15" t="s">
        <v>435</v>
      </c>
      <c r="B54" s="32" t="n">
        <f aca="false">B52-B53</f>
        <v>96716683.3333334</v>
      </c>
      <c r="C54" s="32" t="n">
        <f aca="false">C52-C53</f>
        <v>107776385.416667</v>
      </c>
      <c r="E54" s="17" t="s">
        <v>436</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2"/>
    <col collapsed="false" customWidth="true" hidden="false" outlineLevel="0" max="4" min="2" style="0" width="20"/>
    <col collapsed="false" customWidth="true" hidden="false" outlineLevel="0" max="5" min="5" style="0" width="46"/>
  </cols>
  <sheetData>
    <row r="1" customFormat="false" ht="24" hidden="false" customHeight="true" outlineLevel="0" collapsed="false">
      <c r="A1" s="6" t="s">
        <v>437</v>
      </c>
      <c r="B1" s="6"/>
      <c r="C1" s="6"/>
      <c r="D1" s="6"/>
      <c r="E1" s="6"/>
    </row>
    <row r="2" customFormat="false" ht="15" hidden="false" customHeight="false" outlineLevel="0" collapsed="false">
      <c r="A2" s="7" t="s">
        <v>438</v>
      </c>
      <c r="B2" s="7"/>
      <c r="C2" s="7"/>
      <c r="D2" s="7"/>
      <c r="E2" s="7"/>
    </row>
    <row r="4" customFormat="false" ht="19.5" hidden="false" customHeight="true" outlineLevel="0" collapsed="false">
      <c r="A4" s="4" t="s">
        <v>439</v>
      </c>
      <c r="B4" s="4"/>
      <c r="C4" s="4"/>
      <c r="D4" s="4"/>
      <c r="E4" s="4"/>
    </row>
    <row r="5" customFormat="false" ht="30" hidden="false" customHeight="true" outlineLevel="0" collapsed="false">
      <c r="A5" s="11" t="s">
        <v>440</v>
      </c>
      <c r="B5" s="11" t="s">
        <v>78</v>
      </c>
      <c r="C5" s="11" t="s">
        <v>79</v>
      </c>
      <c r="D5" s="11" t="s">
        <v>326</v>
      </c>
      <c r="E5" s="11" t="s">
        <v>441</v>
      </c>
    </row>
    <row r="6" customFormat="false" ht="15" hidden="false" customHeight="false" outlineLevel="0" collapsed="false">
      <c r="A6" s="12" t="s">
        <v>442</v>
      </c>
      <c r="B6" s="31" t="n">
        <f aca="false">'Compte de resultat'!B10</f>
        <v>833808650</v>
      </c>
      <c r="C6" s="31" t="n">
        <f aca="false">'Compte de resultat'!C10</f>
        <v>1443071456.25</v>
      </c>
      <c r="D6" s="19" t="n">
        <f aca="false">IF(B6=0,"n.a.",C6/B6-1)</f>
        <v>0.730698591637302</v>
      </c>
      <c r="E6" s="17" t="s">
        <v>443</v>
      </c>
    </row>
    <row r="7" customFormat="false" ht="15" hidden="false" customHeight="false" outlineLevel="0" collapsed="false">
      <c r="A7" s="12" t="s">
        <v>444</v>
      </c>
      <c r="B7" s="31" t="n">
        <f aca="false">'Compte de resultat'!B13+'Compte de resultat'!B14</f>
        <v>416677300</v>
      </c>
      <c r="C7" s="31" t="n">
        <f aca="false">'Compte de resultat'!C13+'Compte de resultat'!C14</f>
        <v>548760000</v>
      </c>
      <c r="D7" s="19" t="n">
        <f aca="false">IF(B7=0,"n.a.",C7/B7-1)</f>
        <v>0.316990390405237</v>
      </c>
      <c r="E7" s="17" t="s">
        <v>445</v>
      </c>
    </row>
    <row r="8" customFormat="false" ht="15" hidden="false" customHeight="false" outlineLevel="0" collapsed="false">
      <c r="A8" s="15" t="s">
        <v>446</v>
      </c>
      <c r="B8" s="32" t="n">
        <f aca="false">B6-B7</f>
        <v>417131350</v>
      </c>
      <c r="C8" s="32" t="n">
        <f aca="false">C6-C7</f>
        <v>894311456.25</v>
      </c>
      <c r="D8" s="33" t="n">
        <f aca="false">IF(B8=0,"n.a.",C8/B8-1)</f>
        <v>1.14395646898753</v>
      </c>
      <c r="E8" s="17" t="s">
        <v>447</v>
      </c>
    </row>
    <row r="9" customFormat="false" ht="15" hidden="false" customHeight="false" outlineLevel="0" collapsed="false">
      <c r="A9" s="12" t="s">
        <v>316</v>
      </c>
      <c r="B9" s="31" t="n">
        <f aca="false">'Compte de resultat'!B15</f>
        <v>14000000</v>
      </c>
      <c r="C9" s="31" t="n">
        <f aca="false">'Compte de resultat'!C15</f>
        <v>22000000</v>
      </c>
      <c r="D9" s="19" t="n">
        <f aca="false">IF(B9=0,"n.a.",C9/B9-1)</f>
        <v>0.571428571428571</v>
      </c>
      <c r="E9" s="17"/>
    </row>
    <row r="10" customFormat="false" ht="15" hidden="false" customHeight="false" outlineLevel="0" collapsed="false">
      <c r="A10" s="12" t="s">
        <v>317</v>
      </c>
      <c r="B10" s="31" t="n">
        <f aca="false">'Compte de resultat'!B16</f>
        <v>265248000</v>
      </c>
      <c r="C10" s="31" t="n">
        <f aca="false">'Compte de resultat'!C16</f>
        <v>411088000</v>
      </c>
      <c r="D10" s="19" t="n">
        <f aca="false">IF(B10=0,"n.a.",C10/B10-1)</f>
        <v>0.549825069369043</v>
      </c>
      <c r="E10" s="17"/>
    </row>
    <row r="11" customFormat="false" ht="15" hidden="false" customHeight="false" outlineLevel="0" collapsed="false">
      <c r="A11" s="15" t="s">
        <v>448</v>
      </c>
      <c r="B11" s="32" t="n">
        <f aca="false">B8-B9-B10</f>
        <v>137883350</v>
      </c>
      <c r="C11" s="32" t="n">
        <f aca="false">C8-C9-C10</f>
        <v>461223456.25</v>
      </c>
      <c r="D11" s="33" t="n">
        <f aca="false">IF(B11=0,"n.a.",C11/B11-1)</f>
        <v>2.34502647527783</v>
      </c>
      <c r="E11" s="17" t="s">
        <v>449</v>
      </c>
    </row>
    <row r="12" customFormat="false" ht="15" hidden="false" customHeight="false" outlineLevel="0" collapsed="false">
      <c r="A12" s="12" t="s">
        <v>319</v>
      </c>
      <c r="B12" s="31" t="n">
        <f aca="false">'Compte de resultat'!B17</f>
        <v>43041666.6666667</v>
      </c>
      <c r="C12" s="31" t="n">
        <f aca="false">'Compte de resultat'!C17</f>
        <v>134542559.52381</v>
      </c>
      <c r="D12" s="19" t="n">
        <f aca="false">IF(B12=0,"n.a.",C12/B12-1)</f>
        <v>2.12586779145347</v>
      </c>
      <c r="E12" s="17"/>
    </row>
    <row r="13" customFormat="false" ht="15" hidden="false" customHeight="false" outlineLevel="0" collapsed="false">
      <c r="A13" s="15" t="s">
        <v>450</v>
      </c>
      <c r="B13" s="32" t="n">
        <f aca="false">B11-B12</f>
        <v>94841683.3333333</v>
      </c>
      <c r="C13" s="32" t="n">
        <f aca="false">C11-C12</f>
        <v>326680896.72619</v>
      </c>
      <c r="D13" s="33" t="n">
        <f aca="false">IF(B13=0,"n.a.",C13/B13-1)</f>
        <v>2.44448648784552</v>
      </c>
      <c r="E13" s="17"/>
    </row>
    <row r="14" customFormat="false" ht="15" hidden="false" customHeight="false" outlineLevel="0" collapsed="false">
      <c r="A14" s="12" t="s">
        <v>318</v>
      </c>
      <c r="B14" s="31" t="n">
        <f aca="false">'Compte de resultat'!B22</f>
        <v>29166666.6666667</v>
      </c>
      <c r="C14" s="31" t="n">
        <f aca="false">'Compte de resultat'!C22</f>
        <v>82745000</v>
      </c>
      <c r="D14" s="19" t="n">
        <f aca="false">IF(B14=0,"n.a.",C14/B14-1)</f>
        <v>1.83697142857143</v>
      </c>
      <c r="E14" s="17"/>
    </row>
    <row r="15" customFormat="false" ht="15" hidden="false" customHeight="false" outlineLevel="0" collapsed="false">
      <c r="A15" s="15" t="s">
        <v>337</v>
      </c>
      <c r="B15" s="32" t="n">
        <f aca="false">B13-B14</f>
        <v>65675016.6666667</v>
      </c>
      <c r="C15" s="32" t="n">
        <f aca="false">C13-C14</f>
        <v>243935896.72619</v>
      </c>
      <c r="D15" s="33" t="n">
        <f aca="false">IF(B15=0,"n.a.",C15/B15-1)</f>
        <v>2.71428754962159</v>
      </c>
      <c r="E15" s="17"/>
    </row>
    <row r="16" customFormat="false" ht="15" hidden="false" customHeight="false" outlineLevel="0" collapsed="false">
      <c r="A16" s="12" t="s">
        <v>338</v>
      </c>
      <c r="B16" s="31" t="n">
        <f aca="false">'Compte de resultat'!B26</f>
        <v>16418754.1666667</v>
      </c>
      <c r="C16" s="31" t="n">
        <f aca="false">'Compte de resultat'!C26</f>
        <v>60983974.1815476</v>
      </c>
      <c r="D16" s="19" t="n">
        <f aca="false">IF(B16=0,"n.a.",C16/B16-1)</f>
        <v>2.71428754962159</v>
      </c>
      <c r="E16" s="17"/>
    </row>
    <row r="17" customFormat="false" ht="15" hidden="false" customHeight="false" outlineLevel="0" collapsed="false">
      <c r="A17" s="15" t="s">
        <v>451</v>
      </c>
      <c r="B17" s="32" t="n">
        <f aca="false">B15-B16</f>
        <v>49256262.5</v>
      </c>
      <c r="C17" s="32" t="n">
        <f aca="false">C15-C16</f>
        <v>182951922.544643</v>
      </c>
      <c r="D17" s="33" t="n">
        <f aca="false">IF(B17=0,"n.a.",C17/B17-1)</f>
        <v>2.71428754962159</v>
      </c>
      <c r="E17" s="17"/>
    </row>
    <row r="18" customFormat="false" ht="15" hidden="false" customHeight="false" outlineLevel="0" collapsed="false">
      <c r="A18" s="15" t="s">
        <v>452</v>
      </c>
      <c r="B18" s="32" t="n">
        <f aca="false">B17+B12</f>
        <v>92297929.1666667</v>
      </c>
      <c r="C18" s="32" t="n">
        <f aca="false">C17+C12</f>
        <v>317494482.068452</v>
      </c>
      <c r="D18" s="33" t="n">
        <f aca="false">IF(B18=0,"n.a.",C18/B18-1)</f>
        <v>2.43988738355265</v>
      </c>
      <c r="E18" s="17" t="s">
        <v>453</v>
      </c>
    </row>
    <row r="25" customFormat="false" ht="19.5" hidden="false" customHeight="true" outlineLevel="0" collapsed="false">
      <c r="A25" s="4" t="s">
        <v>454</v>
      </c>
      <c r="B25" s="4"/>
      <c r="C25" s="4"/>
      <c r="D25" s="4"/>
      <c r="E25" s="4"/>
    </row>
    <row r="26" customFormat="false" ht="30" hidden="false" customHeight="true" outlineLevel="0" collapsed="false">
      <c r="A26" s="11" t="s">
        <v>455</v>
      </c>
      <c r="B26" s="11" t="s">
        <v>78</v>
      </c>
      <c r="C26" s="11" t="s">
        <v>79</v>
      </c>
      <c r="D26" s="11"/>
      <c r="E26" s="11" t="s">
        <v>430</v>
      </c>
    </row>
    <row r="27" customFormat="false" ht="15" hidden="false" customHeight="false" outlineLevel="0" collapsed="false">
      <c r="A27" s="12" t="s">
        <v>456</v>
      </c>
      <c r="B27" s="19" t="n">
        <f aca="false">B8/B6</f>
        <v>0.500272274699957</v>
      </c>
      <c r="C27" s="19" t="n">
        <f aca="false">C8/C6</f>
        <v>0.619727770497228</v>
      </c>
      <c r="E27" s="17" t="s">
        <v>457</v>
      </c>
    </row>
    <row r="28" customFormat="false" ht="15" hidden="false" customHeight="false" outlineLevel="0" collapsed="false">
      <c r="A28" s="12" t="s">
        <v>458</v>
      </c>
      <c r="B28" s="19" t="n">
        <f aca="false">B11/B6</f>
        <v>0.165365698712768</v>
      </c>
      <c r="C28" s="19" t="n">
        <f aca="false">C11/C6</f>
        <v>0.319612347851815</v>
      </c>
      <c r="E28" s="17" t="s">
        <v>459</v>
      </c>
    </row>
    <row r="29" customFormat="false" ht="15" hidden="false" customHeight="false" outlineLevel="0" collapsed="false">
      <c r="A29" s="12" t="s">
        <v>460</v>
      </c>
      <c r="B29" s="19" t="n">
        <f aca="false">B17/B6</f>
        <v>0.0590738204742779</v>
      </c>
      <c r="C29" s="19" t="n">
        <f aca="false">C17/C6</f>
        <v>0.12677953108439</v>
      </c>
      <c r="E29" s="17"/>
    </row>
    <row r="30" customFormat="false" ht="15" hidden="false" customHeight="false" outlineLevel="0" collapsed="false">
      <c r="A30" s="12" t="s">
        <v>461</v>
      </c>
      <c r="B30" s="19" t="n">
        <f aca="false">B13/Bilan!B17</f>
        <v>0.146434061671001</v>
      </c>
      <c r="C30" s="19" t="n">
        <f aca="false">C13/Bilan!C17</f>
        <v>0.237207926677236</v>
      </c>
      <c r="E30" s="17"/>
    </row>
    <row r="31" customFormat="false" ht="15" hidden="false" customHeight="false" outlineLevel="0" collapsed="false">
      <c r="A31" s="12" t="s">
        <v>462</v>
      </c>
      <c r="B31" s="19" t="n">
        <f aca="false">B17/Bilan!B29</f>
        <v>0.133393167570178</v>
      </c>
      <c r="C31" s="19" t="n">
        <f aca="false">C17/Bilan!C29</f>
        <v>0.298839393222588</v>
      </c>
      <c r="E31" s="17"/>
    </row>
    <row r="33" customFormat="false" ht="19.5" hidden="false" customHeight="true" outlineLevel="0" collapsed="false">
      <c r="A33" s="4" t="s">
        <v>463</v>
      </c>
      <c r="B33" s="4"/>
      <c r="C33" s="4"/>
      <c r="D33" s="4"/>
      <c r="E33" s="4"/>
    </row>
    <row r="34" customFormat="false" ht="30" hidden="false" customHeight="true" outlineLevel="0" collapsed="false">
      <c r="A34" s="11" t="s">
        <v>455</v>
      </c>
      <c r="B34" s="11" t="s">
        <v>235</v>
      </c>
      <c r="C34" s="11" t="s">
        <v>236</v>
      </c>
      <c r="D34" s="11"/>
      <c r="E34" s="11" t="s">
        <v>430</v>
      </c>
    </row>
    <row r="35" customFormat="false" ht="15" hidden="false" customHeight="false" outlineLevel="0" collapsed="false">
      <c r="A35" s="12" t="s">
        <v>464</v>
      </c>
      <c r="B35" s="19" t="n">
        <f aca="false">Bilan!B29/Bilan!B17</f>
        <v>0.5701258393452</v>
      </c>
      <c r="C35" s="19" t="n">
        <f aca="false">Bilan!C29/Bilan!C17</f>
        <v>0.444533597539959</v>
      </c>
      <c r="E35" s="17" t="s">
        <v>465</v>
      </c>
    </row>
    <row r="36" customFormat="false" ht="15" hidden="false" customHeight="false" outlineLevel="0" collapsed="false">
      <c r="A36" s="12" t="s">
        <v>466</v>
      </c>
      <c r="B36" s="19" t="n">
        <f aca="false">Bilan!B33/Bilan!B29</f>
        <v>0.563294441079385</v>
      </c>
      <c r="C36" s="19" t="n">
        <f aca="false">Bilan!C33/Bilan!C29</f>
        <v>1.00619366916024</v>
      </c>
      <c r="E36" s="17"/>
    </row>
    <row r="37" customFormat="false" ht="15" hidden="false" customHeight="false" outlineLevel="0" collapsed="false">
      <c r="A37" s="12" t="s">
        <v>467</v>
      </c>
      <c r="B37" s="46" t="n">
        <f aca="false">Bilan!B33/B18</f>
        <v>2.25357168766381</v>
      </c>
      <c r="C37" s="46" t="n">
        <f aca="false">Bilan!C33/C18</f>
        <v>1.94019119950308</v>
      </c>
      <c r="E37" s="17" t="s">
        <v>468</v>
      </c>
    </row>
    <row r="38" customFormat="false" ht="15" hidden="false" customHeight="false" outlineLevel="0" collapsed="false">
      <c r="A38" s="12" t="s">
        <v>469</v>
      </c>
      <c r="B38" s="46" t="n">
        <f aca="false">B11/B14</f>
        <v>4.72742914285714</v>
      </c>
      <c r="C38" s="46" t="n">
        <f aca="false">C11/C14</f>
        <v>5.57403415614237</v>
      </c>
      <c r="E38" s="17" t="s">
        <v>470</v>
      </c>
    </row>
    <row r="39" customFormat="false" ht="15" hidden="false" customHeight="false" outlineLevel="0" collapsed="false">
      <c r="A39" s="12" t="s">
        <v>471</v>
      </c>
      <c r="B39" s="46" t="n">
        <f aca="false">(Bilan!B14+Bilan!B16)/Bilan!B38</f>
        <v>3.44676196285542</v>
      </c>
      <c r="C39" s="46" t="n">
        <f aca="false">(Bilan!C14+Bilan!C16)/Bilan!C38</f>
        <v>2.34103290191238</v>
      </c>
      <c r="E39" s="17" t="s">
        <v>472</v>
      </c>
    </row>
    <row r="41" customFormat="false" ht="19.5" hidden="false" customHeight="true" outlineLevel="0" collapsed="false">
      <c r="A41" s="4" t="s">
        <v>473</v>
      </c>
      <c r="B41" s="4"/>
      <c r="C41" s="4"/>
      <c r="D41" s="4"/>
      <c r="E41" s="4"/>
    </row>
    <row r="42" customFormat="false" ht="30" hidden="false" customHeight="true" outlineLevel="0" collapsed="false">
      <c r="A42" s="11" t="s">
        <v>429</v>
      </c>
      <c r="B42" s="11" t="s">
        <v>78</v>
      </c>
      <c r="C42" s="11" t="s">
        <v>79</v>
      </c>
      <c r="D42" s="11" t="s">
        <v>326</v>
      </c>
      <c r="E42" s="11" t="s">
        <v>430</v>
      </c>
    </row>
    <row r="43" customFormat="false" ht="15" hidden="false" customHeight="false" outlineLevel="0" collapsed="false">
      <c r="A43" s="12" t="s">
        <v>474</v>
      </c>
      <c r="B43" s="13" t="n">
        <f aca="false">Hypotheses!B19</f>
        <v>55</v>
      </c>
      <c r="C43" s="13" t="n">
        <f aca="false">Hypotheses!C19</f>
        <v>58</v>
      </c>
      <c r="D43" s="19" t="n">
        <f aca="false">IF(B43=0,"n.a.",C43/B43-1)</f>
        <v>0.0545454545454545</v>
      </c>
      <c r="E43" s="17"/>
    </row>
    <row r="44" customFormat="false" ht="15" hidden="false" customHeight="false" outlineLevel="0" collapsed="false">
      <c r="A44" s="12" t="s">
        <v>475</v>
      </c>
      <c r="B44" s="31" t="n">
        <f aca="false">B6/B43</f>
        <v>15160157.2727273</v>
      </c>
      <c r="C44" s="31" t="n">
        <f aca="false">C6/C43</f>
        <v>24880542.3491379</v>
      </c>
      <c r="D44" s="19" t="n">
        <f aca="false">IF(B44=0,"n.a.",C44/B44-1)</f>
        <v>0.641179698966407</v>
      </c>
      <c r="E44" s="17"/>
    </row>
    <row r="45" customFormat="false" ht="15" hidden="false" customHeight="false" outlineLevel="0" collapsed="false">
      <c r="A45" s="12" t="s">
        <v>476</v>
      </c>
      <c r="B45" s="31" t="n">
        <f aca="false">B8/B43</f>
        <v>7584206.36363636</v>
      </c>
      <c r="C45" s="31" t="n">
        <f aca="false">C8/C43</f>
        <v>15419163.0387931</v>
      </c>
      <c r="D45" s="19" t="n">
        <f aca="false">IF(B45=0,"n.a.",C45/B45-1)</f>
        <v>1.03306216886748</v>
      </c>
      <c r="E45" s="17" t="s">
        <v>477</v>
      </c>
    </row>
    <row r="46" customFormat="false" ht="15" hidden="false" customHeight="false" outlineLevel="0" collapsed="false">
      <c r="A46" s="12" t="s">
        <v>478</v>
      </c>
      <c r="B46" s="31" t="n">
        <f aca="false">B11/B43</f>
        <v>2506970</v>
      </c>
      <c r="C46" s="31" t="n">
        <f aca="false">C11/C43</f>
        <v>7952128.55603448</v>
      </c>
      <c r="D46" s="19" t="n">
        <f aca="false">IF(B46=0,"n.a.",C46/B46-1)</f>
        <v>2.1720078644876</v>
      </c>
      <c r="E46" s="17"/>
    </row>
    <row r="47" customFormat="false" ht="15" hidden="false" customHeight="false" outlineLevel="0" collapsed="false">
      <c r="A47" s="12" t="s">
        <v>479</v>
      </c>
      <c r="B47" s="31" t="n">
        <f aca="false">B17/B43</f>
        <v>895568.409090909</v>
      </c>
      <c r="C47" s="31" t="n">
        <f aca="false">C17/C43</f>
        <v>3154343.49214901</v>
      </c>
      <c r="D47" s="19" t="n">
        <f aca="false">IF(B47=0,"n.a.",C47/B47-1)</f>
        <v>2.52216922808944</v>
      </c>
      <c r="E47" s="17"/>
    </row>
    <row r="48" customFormat="false" ht="15" hidden="false" customHeight="false" outlineLevel="0" collapsed="false">
      <c r="A48" s="12" t="s">
        <v>480</v>
      </c>
      <c r="B48" s="31" t="n">
        <f aca="false">(B7+B9+B10+B12)/B43</f>
        <v>13435763.030303</v>
      </c>
      <c r="C48" s="31" t="n">
        <f aca="false">(C7+C9+C10+C12)/C43</f>
        <v>19248113.0952381</v>
      </c>
      <c r="D48" s="19" t="n">
        <f aca="false">IF(B48=0,"n.a.",C48/B48-1)</f>
        <v>0.432602901065305</v>
      </c>
      <c r="E48" s="17"/>
    </row>
    <row r="50" customFormat="false" ht="19.5" hidden="false" customHeight="true" outlineLevel="0" collapsed="false">
      <c r="A50" s="4" t="s">
        <v>481</v>
      </c>
      <c r="B50" s="4"/>
      <c r="C50" s="4"/>
      <c r="D50" s="4"/>
      <c r="E50" s="4"/>
    </row>
    <row r="51" customFormat="false" ht="30" hidden="false" customHeight="true" outlineLevel="0" collapsed="false">
      <c r="A51" s="11" t="s">
        <v>482</v>
      </c>
      <c r="B51" s="11" t="s">
        <v>78</v>
      </c>
      <c r="C51" s="11" t="s">
        <v>79</v>
      </c>
      <c r="D51" s="11"/>
      <c r="E51" s="11" t="s">
        <v>483</v>
      </c>
    </row>
    <row r="52" customFormat="false" ht="15" hidden="false" customHeight="false" outlineLevel="0" collapsed="false">
      <c r="A52" s="12" t="s">
        <v>484</v>
      </c>
      <c r="B52" s="31" t="n">
        <f aca="false">Charges!B41+Charges!B42+Charges!B54+Charges!B50+Charges!B32+Charges!B21+Charges!B22+Charges!B23+Charges!B24+Charges!B25</f>
        <v>303456333.333333</v>
      </c>
      <c r="C52" s="31" t="n">
        <f aca="false">Charges!C41+Charges!C42+Charges!C54+Charges!C50+Charges!C32+Charges!C21+Charges!C22+Charges!C23+Charges!C24+Charges!C25</f>
        <v>621975559.52381</v>
      </c>
    </row>
    <row r="53" customFormat="false" ht="15" hidden="false" customHeight="false" outlineLevel="0" collapsed="false">
      <c r="A53" s="12" t="s">
        <v>485</v>
      </c>
      <c r="B53" s="31" t="n">
        <f aca="false">Charges!B64-B52</f>
        <v>464677300</v>
      </c>
      <c r="C53" s="31" t="n">
        <f aca="false">Charges!C64-C52</f>
        <v>577160000</v>
      </c>
    </row>
    <row r="54" customFormat="false" ht="15" hidden="false" customHeight="false" outlineLevel="0" collapsed="false">
      <c r="A54" s="12" t="s">
        <v>486</v>
      </c>
      <c r="B54" s="31" t="n">
        <f aca="false">B6-B53</f>
        <v>369131350</v>
      </c>
      <c r="C54" s="31" t="n">
        <f aca="false">C6-C53</f>
        <v>865911456.25</v>
      </c>
    </row>
    <row r="55" customFormat="false" ht="15" hidden="false" customHeight="false" outlineLevel="0" collapsed="false">
      <c r="A55" s="12" t="s">
        <v>487</v>
      </c>
      <c r="B55" s="19" t="n">
        <f aca="false">B54/B6</f>
        <v>0.442705109859438</v>
      </c>
      <c r="C55" s="19" t="n">
        <f aca="false">C54/C6</f>
        <v>0.600047525366608</v>
      </c>
    </row>
    <row r="56" customFormat="false" ht="15" hidden="false" customHeight="false" outlineLevel="0" collapsed="false">
      <c r="A56" s="15" t="s">
        <v>488</v>
      </c>
      <c r="B56" s="32" t="n">
        <f aca="false">B52/B55</f>
        <v>685459296.888808</v>
      </c>
      <c r="C56" s="32" t="n">
        <f aca="false">C52/C55</f>
        <v>1036543828.99722</v>
      </c>
    </row>
    <row r="57" customFormat="false" ht="15" hidden="false" customHeight="false" outlineLevel="0" collapsed="false">
      <c r="A57" s="12" t="s">
        <v>489</v>
      </c>
      <c r="B57" s="19" t="n">
        <f aca="false">B56/B6</f>
        <v>0.822082256988829</v>
      </c>
      <c r="C57" s="19" t="n">
        <f aca="false">C56/C6</f>
        <v>0.718290022651273</v>
      </c>
      <c r="E57" s="17" t="s">
        <v>490</v>
      </c>
    </row>
    <row r="58" customFormat="false" ht="15" hidden="false" customHeight="false" outlineLevel="0" collapsed="false">
      <c r="A58" s="15" t="s">
        <v>491</v>
      </c>
      <c r="B58" s="32" t="n">
        <f aca="false">B6-B56</f>
        <v>148349353.111192</v>
      </c>
      <c r="C58" s="32" t="n">
        <f aca="false">C6-C56</f>
        <v>406527627.252782</v>
      </c>
    </row>
    <row r="60" customFormat="false" ht="15" hidden="false" customHeight="true" outlineLevel="0" collapsed="false">
      <c r="A60" s="26" t="s">
        <v>492</v>
      </c>
      <c r="B60" s="26"/>
      <c r="C60" s="26"/>
      <c r="D60" s="26"/>
      <c r="E60" s="26"/>
    </row>
    <row r="61" customFormat="false" ht="15" hidden="false" customHeight="false" outlineLevel="0" collapsed="false">
      <c r="A61" s="26"/>
      <c r="B61" s="26"/>
      <c r="C61" s="26"/>
      <c r="D61" s="26"/>
      <c r="E61" s="26"/>
    </row>
    <row r="62" customFormat="false" ht="15" hidden="false" customHeight="false" outlineLevel="0" collapsed="false">
      <c r="A62" s="26"/>
      <c r="B62" s="26"/>
      <c r="C62" s="26"/>
      <c r="D62" s="26"/>
      <c r="E62" s="26"/>
    </row>
  </sheetData>
  <mergeCells count="3">
    <mergeCell ref="A1:E1"/>
    <mergeCell ref="A2:E2"/>
    <mergeCell ref="A60:E6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56"/>
    <col collapsed="false" customWidth="true" hidden="false" outlineLevel="0" max="5" min="2" style="0" width="20"/>
    <col collapsed="false" customWidth="true" hidden="false" outlineLevel="0" max="6" min="6" style="0" width="52"/>
  </cols>
  <sheetData>
    <row r="1" customFormat="false" ht="24" hidden="false" customHeight="true" outlineLevel="0" collapsed="false">
      <c r="A1" s="6" t="s">
        <v>493</v>
      </c>
      <c r="B1" s="6"/>
      <c r="C1" s="6"/>
      <c r="D1" s="6"/>
      <c r="E1" s="6"/>
      <c r="F1" s="6"/>
    </row>
    <row r="2" customFormat="false" ht="15" hidden="false" customHeight="false" outlineLevel="0" collapsed="false">
      <c r="A2" s="7" t="s">
        <v>494</v>
      </c>
      <c r="B2" s="7"/>
      <c r="C2" s="7"/>
      <c r="D2" s="7"/>
      <c r="E2" s="7"/>
      <c r="F2" s="7"/>
    </row>
    <row r="4" customFormat="false" ht="19.5" hidden="false" customHeight="true" outlineLevel="0" collapsed="false">
      <c r="A4" s="4" t="s">
        <v>495</v>
      </c>
      <c r="B4" s="4"/>
      <c r="C4" s="4"/>
      <c r="D4" s="4"/>
      <c r="E4" s="4"/>
      <c r="F4" s="4"/>
    </row>
    <row r="5" customFormat="false" ht="30" hidden="false" customHeight="true" outlineLevel="0" collapsed="false">
      <c r="A5" s="11" t="s">
        <v>429</v>
      </c>
      <c r="B5" s="11" t="s">
        <v>78</v>
      </c>
      <c r="C5" s="11" t="s">
        <v>79</v>
      </c>
      <c r="D5" s="11" t="s">
        <v>496</v>
      </c>
      <c r="E5" s="11" t="s">
        <v>96</v>
      </c>
      <c r="F5" s="11" t="s">
        <v>497</v>
      </c>
    </row>
    <row r="6" customFormat="false" ht="15" hidden="false" customHeight="false" outlineLevel="0" collapsed="false">
      <c r="A6" s="12" t="s">
        <v>474</v>
      </c>
      <c r="B6" s="13" t="n">
        <f aca="false">Hypotheses!B19</f>
        <v>55</v>
      </c>
      <c r="C6" s="13" t="n">
        <f aca="false">Hypotheses!C19</f>
        <v>58</v>
      </c>
      <c r="D6" s="13" t="n">
        <f aca="false">C6-B6</f>
        <v>3</v>
      </c>
      <c r="E6" s="19" t="n">
        <f aca="false">IF(B6=0,"n.a.",C6/B6-1)</f>
        <v>0.0545454545454545</v>
      </c>
      <c r="F6" s="17" t="s">
        <v>498</v>
      </c>
    </row>
    <row r="7" customFormat="false" ht="15" hidden="false" customHeight="false" outlineLevel="0" collapsed="false">
      <c r="A7" s="12" t="s">
        <v>499</v>
      </c>
      <c r="B7" s="29" t="n">
        <f aca="false">Production!E11</f>
        <v>242.325</v>
      </c>
      <c r="C7" s="29" t="n">
        <f aca="false">Production!I11</f>
        <v>325.755</v>
      </c>
      <c r="D7" s="29" t="n">
        <f aca="false">C7-B7</f>
        <v>83.43</v>
      </c>
      <c r="E7" s="19" t="n">
        <f aca="false">IF(B7=0,"n.a.",C7/B7-1)</f>
        <v>0.344289693593315</v>
      </c>
      <c r="F7" s="17" t="s">
        <v>500</v>
      </c>
    </row>
    <row r="8" customFormat="false" ht="15" hidden="false" customHeight="false" outlineLevel="0" collapsed="false">
      <c r="A8" s="12" t="s">
        <v>501</v>
      </c>
      <c r="B8" s="31" t="n">
        <f aca="false">'SIG &amp; Ratios'!B6</f>
        <v>833808650</v>
      </c>
      <c r="C8" s="31" t="n">
        <f aca="false">'SIG &amp; Ratios'!C6</f>
        <v>1443071456.25</v>
      </c>
      <c r="D8" s="31" t="n">
        <f aca="false">C8-B8</f>
        <v>609262806.25</v>
      </c>
      <c r="E8" s="19" t="n">
        <f aca="false">IF(B8=0,"n.a.",C8/B8-1)</f>
        <v>0.730698591637302</v>
      </c>
      <c r="F8" s="17" t="s">
        <v>502</v>
      </c>
    </row>
    <row r="9" customFormat="false" ht="15" hidden="false" customHeight="false" outlineLevel="0" collapsed="false">
      <c r="A9" s="12" t="s">
        <v>503</v>
      </c>
      <c r="B9" s="31" t="n">
        <f aca="false">'SIG &amp; Ratios'!B8</f>
        <v>417131350</v>
      </c>
      <c r="C9" s="31" t="n">
        <f aca="false">'SIG &amp; Ratios'!C8</f>
        <v>894311456.25</v>
      </c>
      <c r="D9" s="31" t="n">
        <f aca="false">C9-B9</f>
        <v>477180106.25</v>
      </c>
      <c r="E9" s="19" t="n">
        <f aca="false">IF(B9=0,"n.a.",C9/B9-1)</f>
        <v>1.14395646898753</v>
      </c>
      <c r="F9" s="17" t="s">
        <v>504</v>
      </c>
    </row>
    <row r="10" customFormat="false" ht="15" hidden="false" customHeight="false" outlineLevel="0" collapsed="false">
      <c r="A10" s="12" t="s">
        <v>505</v>
      </c>
      <c r="B10" s="31" t="n">
        <f aca="false">'SIG &amp; Ratios'!B11</f>
        <v>137883350</v>
      </c>
      <c r="C10" s="31" t="n">
        <f aca="false">'SIG &amp; Ratios'!C11</f>
        <v>461223456.25</v>
      </c>
      <c r="D10" s="31" t="n">
        <f aca="false">C10-B10</f>
        <v>323340106.25</v>
      </c>
      <c r="E10" s="19" t="n">
        <f aca="false">IF(B10=0,"n.a.",C10/B10-1)</f>
        <v>2.34502647527783</v>
      </c>
      <c r="F10" s="17" t="s">
        <v>506</v>
      </c>
    </row>
    <row r="11" customFormat="false" ht="15" hidden="false" customHeight="false" outlineLevel="0" collapsed="false">
      <c r="A11" s="12" t="s">
        <v>507</v>
      </c>
      <c r="B11" s="31" t="n">
        <f aca="false">'SIG &amp; Ratios'!B13</f>
        <v>94841683.3333333</v>
      </c>
      <c r="C11" s="31" t="n">
        <f aca="false">'SIG &amp; Ratios'!C13</f>
        <v>326680896.72619</v>
      </c>
      <c r="D11" s="31" t="n">
        <f aca="false">C11-B11</f>
        <v>231839213.392857</v>
      </c>
      <c r="E11" s="19" t="n">
        <f aca="false">IF(B11=0,"n.a.",C11/B11-1)</f>
        <v>2.44448648784552</v>
      </c>
      <c r="F11" s="17"/>
    </row>
    <row r="12" customFormat="false" ht="15" hidden="false" customHeight="false" outlineLevel="0" collapsed="false">
      <c r="A12" s="15" t="s">
        <v>339</v>
      </c>
      <c r="B12" s="32" t="n">
        <f aca="false">'SIG &amp; Ratios'!B17</f>
        <v>49256262.5</v>
      </c>
      <c r="C12" s="32" t="n">
        <f aca="false">'SIG &amp; Ratios'!C17</f>
        <v>182951922.544643</v>
      </c>
      <c r="D12" s="32" t="n">
        <f aca="false">C12-B12</f>
        <v>133695660.044643</v>
      </c>
      <c r="E12" s="33" t="n">
        <f aca="false">IF(B12=0,"n.a.",C12/B12-1)</f>
        <v>2.71428754962159</v>
      </c>
      <c r="F12" s="17" t="s">
        <v>508</v>
      </c>
    </row>
    <row r="13" customFormat="false" ht="15" hidden="false" customHeight="false" outlineLevel="0" collapsed="false">
      <c r="A13" s="12" t="s">
        <v>376</v>
      </c>
      <c r="B13" s="31" t="n">
        <f aca="false">'SIG &amp; Ratios'!B18</f>
        <v>92297929.1666667</v>
      </c>
      <c r="C13" s="31" t="n">
        <f aca="false">'SIG &amp; Ratios'!C18</f>
        <v>317494482.068452</v>
      </c>
      <c r="D13" s="31" t="n">
        <f aca="false">C13-B13</f>
        <v>225196552.901786</v>
      </c>
      <c r="E13" s="19" t="n">
        <f aca="false">IF(B13=0,"n.a.",C13/B13-1)</f>
        <v>2.43988738355265</v>
      </c>
      <c r="F13" s="17" t="s">
        <v>509</v>
      </c>
    </row>
    <row r="14" customFormat="false" ht="15" hidden="false" customHeight="false" outlineLevel="0" collapsed="false">
      <c r="A14" s="12" t="s">
        <v>510</v>
      </c>
      <c r="B14" s="31" t="n">
        <f aca="false">Bilan!B17</f>
        <v>647675016.666667</v>
      </c>
      <c r="C14" s="31" t="n">
        <f aca="false">Bilan!C17</f>
        <v>1377192159.22619</v>
      </c>
      <c r="D14" s="31" t="n">
        <f aca="false">C14-B14</f>
        <v>729517142.559524</v>
      </c>
      <c r="E14" s="19" t="n">
        <f aca="false">IF(B14=0,"n.a.",C14/B14-1)</f>
        <v>1.12636295022474</v>
      </c>
      <c r="F14" s="17" t="s">
        <v>511</v>
      </c>
    </row>
    <row r="15" customFormat="false" ht="15" hidden="false" customHeight="false" outlineLevel="0" collapsed="false">
      <c r="A15" s="12" t="s">
        <v>512</v>
      </c>
      <c r="B15" s="31" t="n">
        <f aca="false">'Flux &amp; Financement'!B38</f>
        <v>96716683.3333334</v>
      </c>
      <c r="C15" s="31" t="n">
        <f aca="false">'Flux &amp; Financement'!C38</f>
        <v>107776385.416667</v>
      </c>
      <c r="D15" s="31" t="n">
        <f aca="false">C15-B15</f>
        <v>11059702.0833334</v>
      </c>
      <c r="E15" s="19" t="n">
        <f aca="false">IF(B15=0,"n.a.",C15/B15-1)</f>
        <v>0.114351544140696</v>
      </c>
      <c r="F15" s="17" t="s">
        <v>513</v>
      </c>
    </row>
    <row r="18" customFormat="false" ht="19.5" hidden="false" customHeight="true" outlineLevel="0" collapsed="false">
      <c r="A18" s="4" t="s">
        <v>514</v>
      </c>
      <c r="B18" s="4"/>
      <c r="C18" s="4"/>
      <c r="D18" s="4"/>
      <c r="E18" s="4"/>
      <c r="F18" s="4"/>
    </row>
    <row r="19" customFormat="false" ht="30" hidden="false" customHeight="true" outlineLevel="0" collapsed="false">
      <c r="A19" s="11" t="s">
        <v>515</v>
      </c>
      <c r="B19" s="11" t="s">
        <v>516</v>
      </c>
      <c r="C19" s="11"/>
      <c r="D19" s="11"/>
      <c r="E19" s="11"/>
      <c r="F19" s="11" t="s">
        <v>517</v>
      </c>
    </row>
    <row r="20" customFormat="false" ht="15" hidden="false" customHeight="false" outlineLevel="0" collapsed="false">
      <c r="A20" s="12" t="s">
        <v>518</v>
      </c>
      <c r="B20" s="31" t="n">
        <f aca="false">(Production!I11-Production!E11)/Production!I11*('SIG &amp; Ratios'!C6-'SIG &amp; Ratios'!B6)</f>
        <v>156039956.180066</v>
      </c>
      <c r="F20" s="17" t="s">
        <v>519</v>
      </c>
    </row>
    <row r="21" customFormat="false" ht="15" hidden="false" customHeight="false" outlineLevel="0" collapsed="false">
      <c r="A21" s="12" t="s">
        <v>520</v>
      </c>
      <c r="B21" s="31" t="n">
        <f aca="false">'SIG &amp; Ratios'!C6-'SIG &amp; Ratios'!B6-B20</f>
        <v>453222850.069934</v>
      </c>
      <c r="F21" s="17" t="s">
        <v>521</v>
      </c>
    </row>
    <row r="22" customFormat="false" ht="15" hidden="false" customHeight="false" outlineLevel="0" collapsed="false">
      <c r="A22" s="12" t="s">
        <v>522</v>
      </c>
      <c r="B22" s="31" t="n">
        <f aca="false">B20+B21</f>
        <v>609262806.25</v>
      </c>
      <c r="F22" s="17"/>
    </row>
    <row r="23" customFormat="false" ht="15" hidden="false" customHeight="false" outlineLevel="0" collapsed="false">
      <c r="A23" s="12" t="s">
        <v>523</v>
      </c>
      <c r="B23" s="31" t="n">
        <f aca="false">-(Charges!C64-Charges!B64)</f>
        <v>-431001926.190476</v>
      </c>
      <c r="F23" s="17" t="s">
        <v>524</v>
      </c>
    </row>
    <row r="24" customFormat="false" ht="15" hidden="false" customHeight="false" outlineLevel="0" collapsed="false">
      <c r="A24" s="12" t="s">
        <v>525</v>
      </c>
      <c r="B24" s="31" t="n">
        <f aca="false">-('Compte de resultat'!C26-'Compte de resultat'!B26)</f>
        <v>-44565220.014881</v>
      </c>
      <c r="F24" s="17"/>
    </row>
    <row r="25" customFormat="false" ht="15" hidden="false" customHeight="false" outlineLevel="0" collapsed="false">
      <c r="A25" s="15" t="s">
        <v>526</v>
      </c>
      <c r="B25" s="32" t="n">
        <f aca="false">B22+B23+B24</f>
        <v>133695660.044643</v>
      </c>
      <c r="F25" s="17" t="s">
        <v>527</v>
      </c>
    </row>
    <row r="26" customFormat="false" ht="15" hidden="false" customHeight="false" outlineLevel="0" collapsed="false">
      <c r="A26" s="8" t="s">
        <v>528</v>
      </c>
      <c r="B26" s="35" t="n">
        <f aca="false">'SIG &amp; Ratios'!C17-'SIG &amp; Ratios'!B17</f>
        <v>133695660.044643</v>
      </c>
    </row>
    <row r="27" customFormat="false" ht="15" hidden="false" customHeight="false" outlineLevel="0" collapsed="false">
      <c r="A27" s="47" t="str">
        <f aca="false">IF(ABS(B25-B26)&lt;1,"DECOMPOSITION COHERENTE","ECART A VERIFIER")</f>
        <v>DECOMPOSITION COHERENTE</v>
      </c>
    </row>
    <row r="29" customFormat="false" ht="19.5" hidden="false" customHeight="true" outlineLevel="0" collapsed="false">
      <c r="A29" s="4" t="s">
        <v>529</v>
      </c>
      <c r="B29" s="4"/>
      <c r="C29" s="4"/>
      <c r="D29" s="4"/>
      <c r="E29" s="4"/>
      <c r="F29" s="4"/>
    </row>
    <row r="30" customFormat="false" ht="15.75" hidden="false" customHeight="true" outlineLevel="0" collapsed="false">
      <c r="A30" s="48" t="s">
        <v>530</v>
      </c>
      <c r="B30" s="48"/>
      <c r="C30" s="48"/>
      <c r="D30" s="48"/>
      <c r="E30" s="48"/>
      <c r="F30" s="48"/>
    </row>
    <row r="31" customFormat="false" ht="15.75" hidden="false" customHeight="true" outlineLevel="0" collapsed="false">
      <c r="A31" s="48"/>
      <c r="B31" s="48"/>
      <c r="C31" s="48"/>
      <c r="D31" s="48"/>
      <c r="E31" s="48"/>
      <c r="F31" s="48"/>
    </row>
    <row r="33" customFormat="false" ht="15.75" hidden="false" customHeight="true" outlineLevel="0" collapsed="false">
      <c r="A33" s="48" t="s">
        <v>531</v>
      </c>
      <c r="B33" s="48"/>
      <c r="C33" s="48"/>
      <c r="D33" s="48"/>
      <c r="E33" s="48"/>
      <c r="F33" s="48"/>
    </row>
    <row r="34" customFormat="false" ht="15.75" hidden="false" customHeight="true" outlineLevel="0" collapsed="false">
      <c r="A34" s="48"/>
      <c r="B34" s="48"/>
      <c r="C34" s="48"/>
      <c r="D34" s="48"/>
      <c r="E34" s="48"/>
      <c r="F34" s="48"/>
    </row>
    <row r="36" customFormat="false" ht="15.75" hidden="false" customHeight="true" outlineLevel="0" collapsed="false">
      <c r="A36" s="48" t="s">
        <v>532</v>
      </c>
      <c r="B36" s="48"/>
      <c r="C36" s="48"/>
      <c r="D36" s="48"/>
      <c r="E36" s="48"/>
      <c r="F36" s="48"/>
    </row>
    <row r="37" customFormat="false" ht="15.75" hidden="false" customHeight="true" outlineLevel="0" collapsed="false">
      <c r="A37" s="48"/>
      <c r="B37" s="48"/>
      <c r="C37" s="48"/>
      <c r="D37" s="48"/>
      <c r="E37" s="48"/>
      <c r="F37" s="48"/>
    </row>
    <row r="39" customFormat="false" ht="15.75" hidden="false" customHeight="true" outlineLevel="0" collapsed="false">
      <c r="A39" s="48" t="s">
        <v>533</v>
      </c>
      <c r="B39" s="48"/>
      <c r="C39" s="48"/>
      <c r="D39" s="48"/>
      <c r="E39" s="48"/>
      <c r="F39" s="48"/>
    </row>
    <row r="40" customFormat="false" ht="15.75" hidden="false" customHeight="true" outlineLevel="0" collapsed="false">
      <c r="A40" s="48"/>
      <c r="B40" s="48"/>
      <c r="C40" s="48"/>
      <c r="D40" s="48"/>
      <c r="E40" s="48"/>
      <c r="F40" s="48"/>
    </row>
    <row r="42" customFormat="false" ht="15.75" hidden="false" customHeight="true" outlineLevel="0" collapsed="false">
      <c r="A42" s="48" t="s">
        <v>534</v>
      </c>
      <c r="B42" s="48"/>
      <c r="C42" s="48"/>
      <c r="D42" s="48"/>
      <c r="E42" s="48"/>
      <c r="F42" s="48"/>
    </row>
    <row r="43" customFormat="false" ht="15.75" hidden="false" customHeight="true" outlineLevel="0" collapsed="false">
      <c r="A43" s="48"/>
      <c r="B43" s="48"/>
      <c r="C43" s="48"/>
      <c r="D43" s="48"/>
      <c r="E43" s="48"/>
      <c r="F43" s="48"/>
    </row>
    <row r="45" customFormat="false" ht="15.75" hidden="false" customHeight="true" outlineLevel="0" collapsed="false">
      <c r="A45" s="48" t="s">
        <v>535</v>
      </c>
      <c r="B45" s="48"/>
      <c r="C45" s="48"/>
      <c r="D45" s="48"/>
      <c r="E45" s="48"/>
      <c r="F45" s="48"/>
    </row>
    <row r="46" customFormat="false" ht="15.75" hidden="false" customHeight="true" outlineLevel="0" collapsed="false">
      <c r="A46" s="48"/>
      <c r="B46" s="48"/>
      <c r="C46" s="48"/>
      <c r="D46" s="48"/>
      <c r="E46" s="48"/>
      <c r="F46" s="48"/>
    </row>
  </sheetData>
  <mergeCells count="8">
    <mergeCell ref="A1:F1"/>
    <mergeCell ref="A2:F2"/>
    <mergeCell ref="A30:F31"/>
    <mergeCell ref="A33:F34"/>
    <mergeCell ref="A36:F37"/>
    <mergeCell ref="A39:F40"/>
    <mergeCell ref="A42:F43"/>
    <mergeCell ref="A45:F4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2026-08-17T16:01:34Z</dcterms:created>
  <dc:creator>openpyxl</dc:creator>
  <dc:description/>
  <dc:language>en-US</dc:language>
  <cp:lastModifiedBy/>
  <dcterms:modified xsi:type="dcterms:W3CDTF">2026-08-17T16:01:34Z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